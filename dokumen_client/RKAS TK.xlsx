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acintoshhd/Library/CloudStorage/GoogleDrive-rizqi@ae.polman-bandung.ac.id/My Drive/1-PENDIDIKAN/PPI/2026/PPI Februari-Mei 2026/"/>
    </mc:Choice>
  </mc:AlternateContent>
  <xr:revisionPtr revIDLastSave="0" documentId="13_ncr:1_{523ED9F6-BAAA-6745-AC86-9B3AC39D9F50}" xr6:coauthVersionLast="47" xr6:coauthVersionMax="47" xr10:uidLastSave="{00000000-0000-0000-0000-000000000000}"/>
  <bookViews>
    <workbookView xWindow="0" yWindow="600" windowWidth="33600" windowHeight="20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1BrIKcrW7kI0PaHzmmPy8KPMbdlELcoNp9MTPIBA64="/>
    </ext>
  </extLst>
</workbook>
</file>

<file path=xl/calcChain.xml><?xml version="1.0" encoding="utf-8"?>
<calcChain xmlns="http://schemas.openxmlformats.org/spreadsheetml/2006/main">
  <c r="M50" i="1" l="1"/>
  <c r="M49" i="1" s="1"/>
  <c r="M48" i="1" s="1"/>
  <c r="M47" i="1"/>
  <c r="M46" i="1"/>
  <c r="M44" i="1"/>
  <c r="M43" i="1"/>
  <c r="M42" i="1"/>
  <c r="M40" i="1"/>
  <c r="M39" i="1"/>
  <c r="M37" i="1"/>
  <c r="M36" i="1"/>
  <c r="M35" i="1"/>
  <c r="M34" i="1"/>
  <c r="M33" i="1"/>
  <c r="M31" i="1"/>
  <c r="M30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2" i="1"/>
  <c r="M10" i="1" s="1"/>
  <c r="M9" i="1"/>
  <c r="M8" i="1" s="1"/>
  <c r="M38" i="1" l="1"/>
  <c r="M41" i="1"/>
  <c r="M45" i="1"/>
  <c r="M14" i="1"/>
  <c r="M13" i="1" s="1"/>
  <c r="M7" i="1"/>
  <c r="N4" i="1" l="1"/>
</calcChain>
</file>

<file path=xl/sharedStrings.xml><?xml version="1.0" encoding="utf-8"?>
<sst xmlns="http://schemas.openxmlformats.org/spreadsheetml/2006/main" count="252" uniqueCount="98">
  <si>
    <t>RENCANA KEGIATAN DAN ANGGARAN TK ATTAUHID</t>
  </si>
  <si>
    <t>TAHUN PELAJARAN 2025 - 2026</t>
  </si>
  <si>
    <t>NO.</t>
  </si>
  <si>
    <t>URAIAN KEGIATAN/PENGGUNAAN</t>
  </si>
  <si>
    <t>SUBTOTAL</t>
  </si>
  <si>
    <t>1.</t>
  </si>
  <si>
    <t>PENGEMBANGAN PERIZINAN SEKOLAH</t>
  </si>
  <si>
    <t>1.1</t>
  </si>
  <si>
    <t>AKOMODASI</t>
  </si>
  <si>
    <t>2.</t>
  </si>
  <si>
    <t>PENGEMBANGAN STANDAR ISI</t>
  </si>
  <si>
    <t>2.1</t>
  </si>
  <si>
    <t>RAPAT KERJA AWAL TAHUN</t>
  </si>
  <si>
    <t>2.2.1</t>
  </si>
  <si>
    <t>Konsumsi Guru</t>
  </si>
  <si>
    <t>Keg  /</t>
  </si>
  <si>
    <t>Tahun</t>
  </si>
  <si>
    <t>x</t>
  </si>
  <si>
    <t>Guru</t>
  </si>
  <si>
    <t>2.2</t>
  </si>
  <si>
    <t>RAPAT INTERNAL BULANAN DAN UPGRADING</t>
  </si>
  <si>
    <t>Insentif Guru</t>
  </si>
  <si>
    <t xml:space="preserve"> </t>
  </si>
  <si>
    <t>2.2.2</t>
  </si>
  <si>
    <t>PENGEMBANGAN STANDAR PROSES</t>
  </si>
  <si>
    <t>3.1</t>
  </si>
  <si>
    <t>KBM</t>
  </si>
  <si>
    <t>3.1.1</t>
  </si>
  <si>
    <t>Buku Mutaba'ah (Monitoring)</t>
  </si>
  <si>
    <t>Siswa</t>
  </si>
  <si>
    <t>3.1.2</t>
  </si>
  <si>
    <t>Reward Siswa Berprestasi/Bulan</t>
  </si>
  <si>
    <t>3.1.3</t>
  </si>
  <si>
    <t>Reward Siswa Berprestasi/Semester</t>
  </si>
  <si>
    <t>siswa</t>
  </si>
  <si>
    <t>3.1.4</t>
  </si>
  <si>
    <t>Buku Panduan Siswa</t>
  </si>
  <si>
    <t>3.1.5</t>
  </si>
  <si>
    <t>Buku Tulis sampul Attauhid</t>
  </si>
  <si>
    <t>buah /</t>
  </si>
  <si>
    <t>3.1.6</t>
  </si>
  <si>
    <t>Pensil warna</t>
  </si>
  <si>
    <t>3.1.7</t>
  </si>
  <si>
    <t>Krayon</t>
  </si>
  <si>
    <t>3.1.8</t>
  </si>
  <si>
    <t>Gunting</t>
  </si>
  <si>
    <t>3.1.9</t>
  </si>
  <si>
    <t>Lem Kertas</t>
  </si>
  <si>
    <t>3.1.10</t>
  </si>
  <si>
    <t>Pensil</t>
  </si>
  <si>
    <t>Buah</t>
  </si>
  <si>
    <t>3.1.11</t>
  </si>
  <si>
    <t>Kertas lipat</t>
  </si>
  <si>
    <t>3.1.12</t>
  </si>
  <si>
    <t>Penserut</t>
  </si>
  <si>
    <t>3.1.13</t>
  </si>
  <si>
    <t>Penghapus</t>
  </si>
  <si>
    <t>3.1.14</t>
  </si>
  <si>
    <t>Buku Gambar</t>
  </si>
  <si>
    <t>3.1.16</t>
  </si>
  <si>
    <t>Kuas</t>
  </si>
  <si>
    <t>3.1.17</t>
  </si>
  <si>
    <t>Tempat Pensil</t>
  </si>
  <si>
    <t>3.1.18</t>
  </si>
  <si>
    <t>3.1.19</t>
  </si>
  <si>
    <t>Aisar (Murid Baru)</t>
  </si>
  <si>
    <t>3.1.20</t>
  </si>
  <si>
    <t>Pulpen Guru</t>
  </si>
  <si>
    <t>3.1.21</t>
  </si>
  <si>
    <t>Spidol Guru</t>
  </si>
  <si>
    <t>3.1.22</t>
  </si>
  <si>
    <t>Kertas A4</t>
  </si>
  <si>
    <t>Rim</t>
  </si>
  <si>
    <t>3.1.23</t>
  </si>
  <si>
    <t>Tinta Printer</t>
  </si>
  <si>
    <t>Paket</t>
  </si>
  <si>
    <t>3.2</t>
  </si>
  <si>
    <t>KEGIATAN HARI BESAR</t>
  </si>
  <si>
    <t>3.2.1</t>
  </si>
  <si>
    <t>Spanduk</t>
  </si>
  <si>
    <t>3.2.2</t>
  </si>
  <si>
    <t>Hiasan Kelas</t>
  </si>
  <si>
    <t>Kelas</t>
  </si>
  <si>
    <t>3.3</t>
  </si>
  <si>
    <t>TADABBUR ALAM (OUTING CLASS)</t>
  </si>
  <si>
    <t>2.3.1</t>
  </si>
  <si>
    <t>Akomodasi Survey</t>
  </si>
  <si>
    <t>2.3.2</t>
  </si>
  <si>
    <t>Stand Banner</t>
  </si>
  <si>
    <t>2.3.3</t>
  </si>
  <si>
    <t>Dana Darurat</t>
  </si>
  <si>
    <t>3.4</t>
  </si>
  <si>
    <t>KEGIATAN TK BERDASARKAN KURIKULUM</t>
  </si>
  <si>
    <t>Kebutuhan Kegiatan</t>
  </si>
  <si>
    <t>STANDAR PENGEMBANGAN PENGELOLAAN</t>
  </si>
  <si>
    <t>UPGRADING EKSTERNAL</t>
  </si>
  <si>
    <t>4.1.1</t>
  </si>
  <si>
    <t>Upgrading Konsultan Pendidikan Eksternal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</si>
</sst>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p-421]* #,##0_-;\-[$Rp-421]* #,##0_-;_-[$Rp-421]* &quot;-&quot;??_-;_-@"/>
    <numFmt numFmtId="165" formatCode="_(&quot;Rp &quot;* #,##0_);_(&quot;Rp &quot;* \(#,##0\);_(&quot;Rp &quot;* &quot;-&quot;??_);_(@_)"/>
    <numFmt numFmtId="166" formatCode="d\.m"/>
  </numFmts>
  <fonts count="15" x14ac:knownFonts="1">
    <font>
      <sz val="10"/>
      <color rgb="FF000000"/>
      <name val="Arial"/>
      <scheme val="minor"/>
    </font>
    <font>
      <b/>
      <sz val="12"/>
      <color theme="1"/>
      <name val="Arial Narrow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Calibri"/>
      <family val="2"/>
    </font>
    <font>
      <sz val="11"/>
      <color rgb="FF00000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EA9999"/>
        <bgColor rgb="FFEA9999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2" borderId="4" xfId="0" applyFont="1" applyFill="1" applyBorder="1"/>
    <xf numFmtId="164" fontId="3" fillId="2" borderId="4" xfId="0" applyNumberFormat="1" applyFont="1" applyFill="1" applyBorder="1"/>
    <xf numFmtId="0" fontId="4" fillId="2" borderId="5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164" fontId="4" fillId="3" borderId="10" xfId="0" applyNumberFormat="1" applyFont="1" applyFill="1" applyBorder="1" applyAlignment="1">
      <alignment horizontal="right"/>
    </xf>
    <xf numFmtId="0" fontId="4" fillId="4" borderId="5" xfId="0" applyFont="1" applyFill="1" applyBorder="1" applyAlignment="1">
      <alignment horizontal="center"/>
    </xf>
    <xf numFmtId="165" fontId="5" fillId="4" borderId="9" xfId="0" applyNumberFormat="1" applyFont="1" applyFill="1" applyBorder="1"/>
    <xf numFmtId="0" fontId="6" fillId="0" borderId="0" xfId="0" applyFont="1"/>
    <xf numFmtId="0" fontId="3" fillId="2" borderId="11" xfId="0" applyFont="1" applyFill="1" applyBorder="1"/>
    <xf numFmtId="49" fontId="4" fillId="5" borderId="11" xfId="0" applyNumberFormat="1" applyFont="1" applyFill="1" applyBorder="1" applyAlignment="1">
      <alignment horizontal="center"/>
    </xf>
    <xf numFmtId="165" fontId="7" fillId="5" borderId="11" xfId="0" applyNumberFormat="1" applyFont="1" applyFill="1" applyBorder="1" applyAlignment="1">
      <alignment horizontal="right"/>
    </xf>
    <xf numFmtId="49" fontId="4" fillId="4" borderId="5" xfId="0" applyNumberFormat="1" applyFont="1" applyFill="1" applyBorder="1" applyAlignment="1">
      <alignment horizontal="center"/>
    </xf>
    <xf numFmtId="0" fontId="8" fillId="0" borderId="0" xfId="0" applyFont="1"/>
    <xf numFmtId="49" fontId="4" fillId="5" borderId="15" xfId="0" applyNumberFormat="1" applyFont="1" applyFill="1" applyBorder="1" applyAlignment="1">
      <alignment horizontal="center"/>
    </xf>
    <xf numFmtId="165" fontId="9" fillId="5" borderId="15" xfId="0" applyNumberFormat="1" applyFont="1" applyFill="1" applyBorder="1"/>
    <xf numFmtId="0" fontId="8" fillId="0" borderId="10" xfId="0" applyFont="1" applyBorder="1"/>
    <xf numFmtId="49" fontId="4" fillId="0" borderId="10" xfId="0" applyNumberFormat="1" applyFont="1" applyBorder="1" applyAlignment="1">
      <alignment horizontal="center"/>
    </xf>
    <xf numFmtId="0" fontId="10" fillId="0" borderId="10" xfId="0" applyFont="1" applyBorder="1"/>
    <xf numFmtId="0" fontId="11" fillId="2" borderId="10" xfId="0" applyFont="1" applyFill="1" applyBorder="1" applyAlignment="1">
      <alignment horizontal="center"/>
    </xf>
    <xf numFmtId="0" fontId="11" fillId="2" borderId="10" xfId="0" applyFont="1" applyFill="1" applyBorder="1"/>
    <xf numFmtId="0" fontId="11" fillId="2" borderId="10" xfId="0" applyFont="1" applyFill="1" applyBorder="1" applyAlignment="1">
      <alignment horizontal="right"/>
    </xf>
    <xf numFmtId="164" fontId="11" fillId="2" borderId="10" xfId="0" applyNumberFormat="1" applyFont="1" applyFill="1" applyBorder="1" applyAlignment="1">
      <alignment horizontal="right"/>
    </xf>
    <xf numFmtId="165" fontId="11" fillId="2" borderId="10" xfId="0" applyNumberFormat="1" applyFont="1" applyFill="1" applyBorder="1" applyAlignment="1">
      <alignment horizontal="right"/>
    </xf>
    <xf numFmtId="49" fontId="4" fillId="5" borderId="10" xfId="0" applyNumberFormat="1" applyFont="1" applyFill="1" applyBorder="1" applyAlignment="1">
      <alignment horizontal="center"/>
    </xf>
    <xf numFmtId="165" fontId="5" fillId="5" borderId="10" xfId="0" applyNumberFormat="1" applyFont="1" applyFill="1" applyBorder="1"/>
    <xf numFmtId="0" fontId="8" fillId="0" borderId="23" xfId="0" applyFont="1" applyBorder="1"/>
    <xf numFmtId="0" fontId="8" fillId="6" borderId="10" xfId="0" applyFont="1" applyFill="1" applyBorder="1"/>
    <xf numFmtId="0" fontId="11" fillId="6" borderId="10" xfId="0" applyFont="1" applyFill="1" applyBorder="1" applyAlignment="1">
      <alignment horizontal="center"/>
    </xf>
    <xf numFmtId="0" fontId="11" fillId="6" borderId="10" xfId="0" applyFont="1" applyFill="1" applyBorder="1"/>
    <xf numFmtId="0" fontId="11" fillId="6" borderId="10" xfId="0" applyFont="1" applyFill="1" applyBorder="1" applyAlignment="1">
      <alignment horizontal="right"/>
    </xf>
    <xf numFmtId="164" fontId="11" fillId="6" borderId="10" xfId="0" applyNumberFormat="1" applyFont="1" applyFill="1" applyBorder="1" applyAlignment="1">
      <alignment horizontal="right"/>
    </xf>
    <xf numFmtId="165" fontId="11" fillId="6" borderId="10" xfId="0" applyNumberFormat="1" applyFont="1" applyFill="1" applyBorder="1" applyAlignment="1">
      <alignment horizontal="right"/>
    </xf>
    <xf numFmtId="0" fontId="11" fillId="2" borderId="26" xfId="0" applyFont="1" applyFill="1" applyBorder="1" applyAlignment="1">
      <alignment horizontal="center"/>
    </xf>
    <xf numFmtId="0" fontId="11" fillId="2" borderId="26" xfId="0" applyFont="1" applyFill="1" applyBorder="1"/>
    <xf numFmtId="0" fontId="11" fillId="2" borderId="26" xfId="0" applyFont="1" applyFill="1" applyBorder="1" applyAlignment="1">
      <alignment horizontal="right"/>
    </xf>
    <xf numFmtId="164" fontId="11" fillId="2" borderId="26" xfId="0" applyNumberFormat="1" applyFont="1" applyFill="1" applyBorder="1" applyAlignment="1">
      <alignment horizontal="right"/>
    </xf>
    <xf numFmtId="165" fontId="11" fillId="2" borderId="26" xfId="0" applyNumberFormat="1" applyFont="1" applyFill="1" applyBorder="1" applyAlignment="1">
      <alignment horizontal="right"/>
    </xf>
    <xf numFmtId="49" fontId="4" fillId="4" borderId="27" xfId="0" applyNumberFormat="1" applyFont="1" applyFill="1" applyBorder="1"/>
    <xf numFmtId="49" fontId="3" fillId="4" borderId="27" xfId="0" applyNumberFormat="1" applyFont="1" applyFill="1" applyBorder="1"/>
    <xf numFmtId="0" fontId="3" fillId="4" borderId="28" xfId="0" applyFont="1" applyFill="1" applyBorder="1"/>
    <xf numFmtId="0" fontId="3" fillId="4" borderId="29" xfId="0" applyFont="1" applyFill="1" applyBorder="1"/>
    <xf numFmtId="0" fontId="3" fillId="4" borderId="30" xfId="0" applyFont="1" applyFill="1" applyBorder="1"/>
    <xf numFmtId="165" fontId="4" fillId="5" borderId="10" xfId="0" applyNumberFormat="1" applyFont="1" applyFill="1" applyBorder="1" applyAlignment="1">
      <alignment horizontal="right"/>
    </xf>
    <xf numFmtId="49" fontId="11" fillId="2" borderId="10" xfId="0" applyNumberFormat="1" applyFont="1" applyFill="1" applyBorder="1"/>
    <xf numFmtId="0" fontId="12" fillId="0" borderId="0" xfId="0" applyFont="1"/>
    <xf numFmtId="49" fontId="11" fillId="2" borderId="10" xfId="0" quotePrefix="1" applyNumberFormat="1" applyFont="1" applyFill="1" applyBorder="1"/>
    <xf numFmtId="0" fontId="12" fillId="0" borderId="10" xfId="0" applyFont="1" applyBorder="1"/>
    <xf numFmtId="0" fontId="13" fillId="5" borderId="10" xfId="0" quotePrefix="1" applyFont="1" applyFill="1" applyBorder="1" applyAlignment="1">
      <alignment horizontal="center"/>
    </xf>
    <xf numFmtId="0" fontId="10" fillId="2" borderId="10" xfId="0" applyFont="1" applyFill="1" applyBorder="1"/>
    <xf numFmtId="0" fontId="10" fillId="2" borderId="10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right"/>
    </xf>
    <xf numFmtId="0" fontId="10" fillId="0" borderId="10" xfId="0" quotePrefix="1" applyFont="1" applyBorder="1"/>
    <xf numFmtId="0" fontId="10" fillId="0" borderId="10" xfId="0" applyFont="1" applyBorder="1" applyAlignment="1">
      <alignment horizontal="center"/>
    </xf>
    <xf numFmtId="0" fontId="10" fillId="0" borderId="10" xfId="0" applyFont="1" applyBorder="1" applyAlignment="1">
      <alignment horizontal="right"/>
    </xf>
    <xf numFmtId="0" fontId="5" fillId="5" borderId="10" xfId="0" quotePrefix="1" applyFont="1" applyFill="1" applyBorder="1" applyAlignment="1">
      <alignment horizontal="center"/>
    </xf>
    <xf numFmtId="0" fontId="3" fillId="0" borderId="10" xfId="0" applyFont="1" applyBorder="1"/>
    <xf numFmtId="0" fontId="3" fillId="2" borderId="10" xfId="0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right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right"/>
    </xf>
    <xf numFmtId="0" fontId="13" fillId="4" borderId="10" xfId="0" applyFont="1" applyFill="1" applyBorder="1" applyAlignment="1">
      <alignment horizontal="center"/>
    </xf>
    <xf numFmtId="0" fontId="12" fillId="3" borderId="0" xfId="0" applyFont="1" applyFill="1"/>
    <xf numFmtId="166" fontId="13" fillId="5" borderId="10" xfId="0" applyNumberFormat="1" applyFont="1" applyFill="1" applyBorder="1" applyAlignment="1">
      <alignment horizontal="center"/>
    </xf>
    <xf numFmtId="0" fontId="3" fillId="0" borderId="10" xfId="0" quotePrefix="1" applyFont="1" applyBorder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6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0" borderId="6" xfId="0" applyFont="1" applyBorder="1"/>
    <xf numFmtId="49" fontId="4" fillId="4" borderId="6" xfId="0" applyNumberFormat="1" applyFont="1" applyFill="1" applyBorder="1" applyAlignment="1">
      <alignment horizontal="left"/>
    </xf>
    <xf numFmtId="49" fontId="4" fillId="5" borderId="12" xfId="0" applyNumberFormat="1" applyFont="1" applyFill="1" applyBorder="1"/>
    <xf numFmtId="0" fontId="2" fillId="0" borderId="13" xfId="0" applyFont="1" applyBorder="1"/>
    <xf numFmtId="49" fontId="4" fillId="4" borderId="6" xfId="0" applyNumberFormat="1" applyFont="1" applyFill="1" applyBorder="1"/>
    <xf numFmtId="0" fontId="3" fillId="2" borderId="1" xfId="0" applyFont="1" applyFill="1" applyBorder="1"/>
    <xf numFmtId="49" fontId="3" fillId="2" borderId="14" xfId="0" applyNumberFormat="1" applyFont="1" applyFill="1" applyBorder="1"/>
    <xf numFmtId="0" fontId="2" fillId="0" borderId="19" xfId="0" applyFont="1" applyBorder="1"/>
    <xf numFmtId="0" fontId="2" fillId="0" borderId="24" xfId="0" applyFont="1" applyBorder="1"/>
    <xf numFmtId="0" fontId="8" fillId="0" borderId="23" xfId="0" applyFont="1" applyBorder="1"/>
    <xf numFmtId="0" fontId="2" fillId="0" borderId="25" xfId="0" applyFont="1" applyBorder="1"/>
    <xf numFmtId="49" fontId="3" fillId="0" borderId="23" xfId="0" applyNumberFormat="1" applyFont="1" applyBorder="1"/>
    <xf numFmtId="0" fontId="10" fillId="0" borderId="23" xfId="0" applyFont="1" applyBorder="1"/>
    <xf numFmtId="0" fontId="3" fillId="0" borderId="23" xfId="0" applyFont="1" applyBorder="1"/>
    <xf numFmtId="0" fontId="3" fillId="0" borderId="19" xfId="0" applyFont="1" applyBorder="1"/>
    <xf numFmtId="49" fontId="3" fillId="2" borderId="23" xfId="0" applyNumberFormat="1" applyFont="1" applyFill="1" applyBorder="1"/>
    <xf numFmtId="0" fontId="14" fillId="0" borderId="23" xfId="0" applyFont="1" applyBorder="1"/>
    <xf numFmtId="49" fontId="4" fillId="5" borderId="16" xfId="0" applyNumberFormat="1" applyFont="1" applyFill="1" applyBorder="1"/>
    <xf numFmtId="0" fontId="2" fillId="0" borderId="17" xfId="0" applyFont="1" applyBorder="1"/>
    <xf numFmtId="0" fontId="2" fillId="0" borderId="18" xfId="0" applyFont="1" applyBorder="1"/>
    <xf numFmtId="49" fontId="4" fillId="5" borderId="20" xfId="0" applyNumberFormat="1" applyFont="1" applyFill="1" applyBorder="1"/>
    <xf numFmtId="0" fontId="2" fillId="0" borderId="21" xfId="0" applyFont="1" applyBorder="1"/>
    <xf numFmtId="0" fontId="2" fillId="0" borderId="22" xfId="0" applyFont="1" applyBorder="1"/>
    <xf numFmtId="0" fontId="13" fillId="5" borderId="20" xfId="0" applyFont="1" applyFill="1" applyBorder="1"/>
    <xf numFmtId="0" fontId="5" fillId="4" borderId="20" xfId="0" applyFont="1" applyFill="1" applyBorder="1" applyAlignment="1">
      <alignment horizontal="left"/>
    </xf>
    <xf numFmtId="0" fontId="13" fillId="5" borderId="20" xfId="0" applyFont="1" applyFill="1" applyBorder="1" applyAlignment="1">
      <alignment horizontal="left"/>
    </xf>
    <xf numFmtId="49" fontId="7" fillId="5" borderId="2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O1016"/>
  <sheetViews>
    <sheetView tabSelected="1" zoomScale="164" workbookViewId="0">
      <selection activeCell="N12" sqref="N12"/>
    </sheetView>
  </sheetViews>
  <sheetFormatPr baseColWidth="10" defaultColWidth="12.6640625" defaultRowHeight="15" customHeight="1" x14ac:dyDescent="0.15"/>
  <cols>
    <col min="1" max="1" width="14.33203125" customWidth="1"/>
    <col min="2" max="2" width="8" customWidth="1"/>
    <col min="3" max="3" width="7" customWidth="1"/>
    <col min="4" max="4" width="28.83203125" customWidth="1"/>
    <col min="5" max="5" width="6.5" customWidth="1"/>
    <col min="6" max="6" width="6.83203125" customWidth="1"/>
    <col min="7" max="7" width="9.5" customWidth="1"/>
    <col min="8" max="8" width="6" customWidth="1"/>
    <col min="9" max="9" width="2.83203125" customWidth="1"/>
    <col min="10" max="10" width="5.1640625" customWidth="1"/>
    <col min="11" max="11" width="1.83203125" customWidth="1"/>
    <col min="12" max="12" width="11.5" customWidth="1"/>
    <col min="13" max="14" width="14.33203125" customWidth="1"/>
  </cols>
  <sheetData>
    <row r="1" spans="1:15" ht="15.75" customHeight="1" x14ac:dyDescent="0.2">
      <c r="A1" s="67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9"/>
    </row>
    <row r="2" spans="1:15" ht="15.75" customHeight="1" x14ac:dyDescent="0.2">
      <c r="A2" s="67" t="s">
        <v>1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9"/>
    </row>
    <row r="3" spans="1:15" ht="15.75" customHeight="1" x14ac:dyDescent="0.15">
      <c r="A3" s="78"/>
      <c r="B3" s="68"/>
      <c r="C3" s="69"/>
      <c r="D3" s="1"/>
      <c r="E3" s="1"/>
      <c r="F3" s="1"/>
      <c r="G3" s="1"/>
      <c r="H3" s="1"/>
      <c r="I3" s="1"/>
      <c r="J3" s="1"/>
      <c r="K3" s="1"/>
      <c r="L3" s="2"/>
      <c r="M3" s="1"/>
    </row>
    <row r="4" spans="1:15" ht="15.75" customHeight="1" x14ac:dyDescent="0.2">
      <c r="A4" s="3" t="s">
        <v>2</v>
      </c>
      <c r="B4" s="70" t="s">
        <v>3</v>
      </c>
      <c r="C4" s="71"/>
      <c r="D4" s="72"/>
      <c r="E4" s="73"/>
      <c r="F4" s="71"/>
      <c r="G4" s="71"/>
      <c r="H4" s="71"/>
      <c r="I4" s="71"/>
      <c r="J4" s="71"/>
      <c r="K4" s="71"/>
      <c r="L4" s="72"/>
      <c r="M4" s="4" t="s">
        <v>4</v>
      </c>
      <c r="N4" s="5">
        <f>SUM(M5+M7+M13+M48)</f>
        <v>0</v>
      </c>
    </row>
    <row r="5" spans="1:15" ht="15.75" customHeight="1" x14ac:dyDescent="0.2">
      <c r="A5" s="6" t="s">
        <v>5</v>
      </c>
      <c r="B5" s="74" t="s">
        <v>6</v>
      </c>
      <c r="C5" s="71"/>
      <c r="D5" s="71"/>
      <c r="E5" s="71"/>
      <c r="F5" s="71"/>
      <c r="G5" s="71"/>
      <c r="H5" s="71"/>
      <c r="I5" s="71"/>
      <c r="J5" s="71"/>
      <c r="K5" s="71"/>
      <c r="L5" s="72"/>
      <c r="M5" s="7"/>
      <c r="N5" s="8"/>
    </row>
    <row r="6" spans="1:15" ht="15.75" customHeight="1" x14ac:dyDescent="0.2">
      <c r="A6" s="9"/>
      <c r="B6" s="10" t="s">
        <v>7</v>
      </c>
      <c r="C6" s="75" t="s">
        <v>8</v>
      </c>
      <c r="D6" s="68"/>
      <c r="E6" s="68"/>
      <c r="F6" s="68"/>
      <c r="G6" s="68"/>
      <c r="H6" s="68"/>
      <c r="I6" s="68"/>
      <c r="J6" s="68"/>
      <c r="K6" s="68"/>
      <c r="L6" s="76"/>
      <c r="M6" s="11"/>
    </row>
    <row r="7" spans="1:15" ht="15.75" customHeight="1" x14ac:dyDescent="0.2">
      <c r="A7" s="12" t="s">
        <v>9</v>
      </c>
      <c r="B7" s="77" t="s">
        <v>10</v>
      </c>
      <c r="C7" s="71"/>
      <c r="D7" s="71"/>
      <c r="E7" s="71"/>
      <c r="F7" s="71"/>
      <c r="G7" s="71"/>
      <c r="H7" s="71"/>
      <c r="I7" s="71"/>
      <c r="J7" s="71"/>
      <c r="K7" s="71"/>
      <c r="L7" s="72"/>
      <c r="M7" s="7">
        <f>SUM(M8+M10)</f>
        <v>0</v>
      </c>
      <c r="N7" s="13"/>
    </row>
    <row r="8" spans="1:15" ht="15.75" customHeight="1" x14ac:dyDescent="0.2">
      <c r="A8" s="79"/>
      <c r="B8" s="14" t="s">
        <v>11</v>
      </c>
      <c r="C8" s="90" t="s">
        <v>12</v>
      </c>
      <c r="D8" s="91"/>
      <c r="E8" s="91"/>
      <c r="F8" s="91"/>
      <c r="G8" s="91"/>
      <c r="H8" s="91"/>
      <c r="I8" s="91"/>
      <c r="J8" s="91"/>
      <c r="K8" s="91"/>
      <c r="L8" s="92"/>
      <c r="M8" s="15">
        <f>SUM(M9)</f>
        <v>0</v>
      </c>
      <c r="N8" s="13"/>
    </row>
    <row r="9" spans="1:15" ht="15.75" customHeight="1" x14ac:dyDescent="0.2">
      <c r="A9" s="80"/>
      <c r="B9" s="16"/>
      <c r="C9" s="17" t="s">
        <v>13</v>
      </c>
      <c r="D9" s="18" t="s">
        <v>14</v>
      </c>
      <c r="E9" s="19"/>
      <c r="F9" s="20" t="s">
        <v>15</v>
      </c>
      <c r="G9" s="19" t="s">
        <v>16</v>
      </c>
      <c r="H9" s="19" t="s">
        <v>17</v>
      </c>
      <c r="I9" s="21"/>
      <c r="J9" s="20" t="s">
        <v>18</v>
      </c>
      <c r="K9" s="19" t="s">
        <v>17</v>
      </c>
      <c r="L9" s="22"/>
      <c r="M9" s="23">
        <f>E9*I9*L9</f>
        <v>0</v>
      </c>
      <c r="N9" s="13"/>
    </row>
    <row r="10" spans="1:15" ht="15.75" customHeight="1" x14ac:dyDescent="0.2">
      <c r="A10" s="80"/>
      <c r="B10" s="24" t="s">
        <v>19</v>
      </c>
      <c r="C10" s="93" t="s">
        <v>20</v>
      </c>
      <c r="D10" s="94"/>
      <c r="E10" s="94"/>
      <c r="F10" s="94"/>
      <c r="G10" s="94"/>
      <c r="H10" s="94"/>
      <c r="I10" s="94"/>
      <c r="J10" s="94"/>
      <c r="K10" s="94"/>
      <c r="L10" s="95"/>
      <c r="M10" s="25">
        <f>SUM(M11:M12)</f>
        <v>0</v>
      </c>
      <c r="N10" s="13"/>
    </row>
    <row r="11" spans="1:15" ht="15.75" customHeight="1" x14ac:dyDescent="0.2">
      <c r="A11" s="80"/>
      <c r="B11" s="82"/>
      <c r="C11" s="27" t="s">
        <v>13</v>
      </c>
      <c r="D11" s="27" t="s">
        <v>21</v>
      </c>
      <c r="E11" s="28"/>
      <c r="F11" s="29" t="s">
        <v>15</v>
      </c>
      <c r="G11" s="28" t="s">
        <v>16</v>
      </c>
      <c r="H11" s="28" t="s">
        <v>17</v>
      </c>
      <c r="I11" s="30"/>
      <c r="J11" s="29" t="s">
        <v>18</v>
      </c>
      <c r="K11" s="28" t="s">
        <v>17</v>
      </c>
      <c r="L11" s="31"/>
      <c r="M11" s="32" t="s">
        <v>22</v>
      </c>
      <c r="O11" s="13"/>
    </row>
    <row r="12" spans="1:15" ht="15.75" customHeight="1" x14ac:dyDescent="0.2">
      <c r="A12" s="81"/>
      <c r="B12" s="83"/>
      <c r="C12" s="26" t="s">
        <v>23</v>
      </c>
      <c r="D12" s="26" t="s">
        <v>14</v>
      </c>
      <c r="E12" s="33"/>
      <c r="F12" s="34" t="s">
        <v>15</v>
      </c>
      <c r="G12" s="33" t="s">
        <v>16</v>
      </c>
      <c r="H12" s="33" t="s">
        <v>17</v>
      </c>
      <c r="I12" s="35"/>
      <c r="J12" s="34" t="s">
        <v>18</v>
      </c>
      <c r="K12" s="33" t="s">
        <v>17</v>
      </c>
      <c r="L12" s="36"/>
      <c r="M12" s="37">
        <f>E12*I12*L12</f>
        <v>0</v>
      </c>
      <c r="O12" s="13"/>
    </row>
    <row r="13" spans="1:15" ht="15.75" customHeight="1" x14ac:dyDescent="0.2">
      <c r="A13" s="6">
        <v>3</v>
      </c>
      <c r="B13" s="38" t="s">
        <v>24</v>
      </c>
      <c r="C13" s="39"/>
      <c r="D13" s="40"/>
      <c r="E13" s="41"/>
      <c r="F13" s="41"/>
      <c r="G13" s="41"/>
      <c r="H13" s="41"/>
      <c r="I13" s="41"/>
      <c r="J13" s="41"/>
      <c r="K13" s="41"/>
      <c r="L13" s="42"/>
      <c r="M13" s="7">
        <f>SUM(M14+M38+M41+M45)</f>
        <v>0</v>
      </c>
    </row>
    <row r="14" spans="1:15" ht="15.75" customHeight="1" x14ac:dyDescent="0.2">
      <c r="A14" s="87"/>
      <c r="B14" s="14" t="s">
        <v>25</v>
      </c>
      <c r="C14" s="90" t="s">
        <v>26</v>
      </c>
      <c r="D14" s="91"/>
      <c r="E14" s="91"/>
      <c r="F14" s="91"/>
      <c r="G14" s="91"/>
      <c r="H14" s="91"/>
      <c r="I14" s="91"/>
      <c r="J14" s="91"/>
      <c r="K14" s="91"/>
      <c r="L14" s="92"/>
      <c r="M14" s="43">
        <f>SUM(M15:M35)</f>
        <v>0</v>
      </c>
    </row>
    <row r="15" spans="1:15" ht="15.75" customHeight="1" x14ac:dyDescent="0.2">
      <c r="A15" s="80"/>
      <c r="B15" s="88"/>
      <c r="C15" s="44" t="s">
        <v>27</v>
      </c>
      <c r="D15" s="20" t="s">
        <v>28</v>
      </c>
      <c r="E15" s="19"/>
      <c r="F15" s="20" t="s">
        <v>15</v>
      </c>
      <c r="G15" s="19" t="s">
        <v>16</v>
      </c>
      <c r="H15" s="19" t="s">
        <v>17</v>
      </c>
      <c r="I15" s="21"/>
      <c r="J15" s="20" t="s">
        <v>29</v>
      </c>
      <c r="K15" s="19" t="s">
        <v>17</v>
      </c>
      <c r="L15" s="22"/>
      <c r="M15" s="23">
        <f t="shared" ref="M15:M28" si="0">E15*I15*L15</f>
        <v>0</v>
      </c>
      <c r="O15" s="45"/>
    </row>
    <row r="16" spans="1:15" ht="15.75" customHeight="1" x14ac:dyDescent="0.2">
      <c r="A16" s="80"/>
      <c r="B16" s="80"/>
      <c r="C16" s="44" t="s">
        <v>30</v>
      </c>
      <c r="D16" s="20" t="s">
        <v>31</v>
      </c>
      <c r="E16" s="19"/>
      <c r="F16" s="20" t="s">
        <v>15</v>
      </c>
      <c r="G16" s="19" t="s">
        <v>16</v>
      </c>
      <c r="H16" s="19" t="s">
        <v>17</v>
      </c>
      <c r="I16" s="21"/>
      <c r="J16" s="20" t="s">
        <v>29</v>
      </c>
      <c r="K16" s="19" t="s">
        <v>17</v>
      </c>
      <c r="L16" s="22"/>
      <c r="M16" s="23">
        <f t="shared" si="0"/>
        <v>0</v>
      </c>
    </row>
    <row r="17" spans="1:13" ht="15.75" customHeight="1" x14ac:dyDescent="0.2">
      <c r="A17" s="80"/>
      <c r="B17" s="80"/>
      <c r="C17" s="46" t="s">
        <v>32</v>
      </c>
      <c r="D17" s="20" t="s">
        <v>33</v>
      </c>
      <c r="E17" s="19"/>
      <c r="F17" s="20" t="s">
        <v>15</v>
      </c>
      <c r="G17" s="19" t="s">
        <v>16</v>
      </c>
      <c r="H17" s="19" t="s">
        <v>17</v>
      </c>
      <c r="I17" s="21"/>
      <c r="J17" s="20" t="s">
        <v>34</v>
      </c>
      <c r="K17" s="19" t="s">
        <v>17</v>
      </c>
      <c r="L17" s="22"/>
      <c r="M17" s="23">
        <f t="shared" si="0"/>
        <v>0</v>
      </c>
    </row>
    <row r="18" spans="1:13" ht="15.75" customHeight="1" x14ac:dyDescent="0.2">
      <c r="A18" s="80"/>
      <c r="B18" s="80"/>
      <c r="C18" s="44" t="s">
        <v>35</v>
      </c>
      <c r="D18" s="20" t="s">
        <v>36</v>
      </c>
      <c r="E18" s="19"/>
      <c r="F18" s="20" t="s">
        <v>15</v>
      </c>
      <c r="G18" s="19" t="s">
        <v>16</v>
      </c>
      <c r="H18" s="19" t="s">
        <v>17</v>
      </c>
      <c r="I18" s="21"/>
      <c r="J18" s="20" t="s">
        <v>29</v>
      </c>
      <c r="K18" s="19" t="s">
        <v>17</v>
      </c>
      <c r="L18" s="22"/>
      <c r="M18" s="23">
        <f t="shared" si="0"/>
        <v>0</v>
      </c>
    </row>
    <row r="19" spans="1:13" ht="15.75" customHeight="1" x14ac:dyDescent="0.2">
      <c r="A19" s="80"/>
      <c r="B19" s="80"/>
      <c r="C19" s="44" t="s">
        <v>37</v>
      </c>
      <c r="D19" s="44" t="s">
        <v>38</v>
      </c>
      <c r="E19" s="19"/>
      <c r="F19" s="20" t="s">
        <v>39</v>
      </c>
      <c r="G19" s="19" t="s">
        <v>16</v>
      </c>
      <c r="H19" s="19" t="s">
        <v>17</v>
      </c>
      <c r="I19" s="21"/>
      <c r="J19" s="20" t="s">
        <v>29</v>
      </c>
      <c r="K19" s="19" t="s">
        <v>17</v>
      </c>
      <c r="L19" s="22"/>
      <c r="M19" s="23">
        <f t="shared" si="0"/>
        <v>0</v>
      </c>
    </row>
    <row r="20" spans="1:13" ht="15.75" customHeight="1" x14ac:dyDescent="0.2">
      <c r="A20" s="80"/>
      <c r="B20" s="80"/>
      <c r="C20" s="44" t="s">
        <v>40</v>
      </c>
      <c r="D20" s="44" t="s">
        <v>41</v>
      </c>
      <c r="E20" s="19"/>
      <c r="F20" s="20" t="s">
        <v>39</v>
      </c>
      <c r="G20" s="19" t="s">
        <v>16</v>
      </c>
      <c r="H20" s="19" t="s">
        <v>17</v>
      </c>
      <c r="I20" s="21"/>
      <c r="J20" s="20" t="s">
        <v>29</v>
      </c>
      <c r="K20" s="19" t="s">
        <v>17</v>
      </c>
      <c r="L20" s="22"/>
      <c r="M20" s="23">
        <f t="shared" si="0"/>
        <v>0</v>
      </c>
    </row>
    <row r="21" spans="1:13" ht="15.75" customHeight="1" x14ac:dyDescent="0.2">
      <c r="A21" s="80"/>
      <c r="B21" s="80"/>
      <c r="C21" s="44" t="s">
        <v>42</v>
      </c>
      <c r="D21" s="44" t="s">
        <v>43</v>
      </c>
      <c r="E21" s="19"/>
      <c r="F21" s="20" t="s">
        <v>39</v>
      </c>
      <c r="G21" s="19" t="s">
        <v>16</v>
      </c>
      <c r="H21" s="19" t="s">
        <v>17</v>
      </c>
      <c r="I21" s="21"/>
      <c r="J21" s="20" t="s">
        <v>29</v>
      </c>
      <c r="K21" s="19" t="s">
        <v>17</v>
      </c>
      <c r="L21" s="22"/>
      <c r="M21" s="23">
        <f t="shared" si="0"/>
        <v>0</v>
      </c>
    </row>
    <row r="22" spans="1:13" ht="15.75" customHeight="1" x14ac:dyDescent="0.2">
      <c r="A22" s="80"/>
      <c r="B22" s="80"/>
      <c r="C22" s="44" t="s">
        <v>44</v>
      </c>
      <c r="D22" s="44" t="s">
        <v>45</v>
      </c>
      <c r="E22" s="19"/>
      <c r="F22" s="20" t="s">
        <v>39</v>
      </c>
      <c r="G22" s="19" t="s">
        <v>16</v>
      </c>
      <c r="H22" s="19" t="s">
        <v>17</v>
      </c>
      <c r="I22" s="21"/>
      <c r="J22" s="20" t="s">
        <v>29</v>
      </c>
      <c r="K22" s="19" t="s">
        <v>17</v>
      </c>
      <c r="L22" s="22"/>
      <c r="M22" s="23">
        <f t="shared" si="0"/>
        <v>0</v>
      </c>
    </row>
    <row r="23" spans="1:13" ht="15.75" customHeight="1" x14ac:dyDescent="0.2">
      <c r="A23" s="80"/>
      <c r="B23" s="80"/>
      <c r="C23" s="44" t="s">
        <v>46</v>
      </c>
      <c r="D23" s="44" t="s">
        <v>47</v>
      </c>
      <c r="E23" s="19"/>
      <c r="F23" s="20" t="s">
        <v>39</v>
      </c>
      <c r="G23" s="19" t="s">
        <v>16</v>
      </c>
      <c r="H23" s="19" t="s">
        <v>17</v>
      </c>
      <c r="I23" s="21"/>
      <c r="J23" s="20" t="s">
        <v>29</v>
      </c>
      <c r="K23" s="19" t="s">
        <v>17</v>
      </c>
      <c r="L23" s="22"/>
      <c r="M23" s="23">
        <f t="shared" si="0"/>
        <v>0</v>
      </c>
    </row>
    <row r="24" spans="1:13" ht="15.75" customHeight="1" x14ac:dyDescent="0.2">
      <c r="A24" s="80"/>
      <c r="B24" s="80"/>
      <c r="C24" s="44" t="s">
        <v>48</v>
      </c>
      <c r="D24" s="44" t="s">
        <v>49</v>
      </c>
      <c r="E24" s="19"/>
      <c r="F24" s="20" t="s">
        <v>39</v>
      </c>
      <c r="G24" s="19" t="s">
        <v>16</v>
      </c>
      <c r="H24" s="19" t="s">
        <v>17</v>
      </c>
      <c r="I24" s="21"/>
      <c r="J24" s="20" t="s">
        <v>50</v>
      </c>
      <c r="K24" s="19" t="s">
        <v>17</v>
      </c>
      <c r="L24" s="22"/>
      <c r="M24" s="23">
        <f t="shared" si="0"/>
        <v>0</v>
      </c>
    </row>
    <row r="25" spans="1:13" ht="15.75" customHeight="1" x14ac:dyDescent="0.2">
      <c r="A25" s="80"/>
      <c r="B25" s="80"/>
      <c r="C25" s="44" t="s">
        <v>51</v>
      </c>
      <c r="D25" s="44" t="s">
        <v>52</v>
      </c>
      <c r="E25" s="19"/>
      <c r="F25" s="20" t="s">
        <v>39</v>
      </c>
      <c r="G25" s="19" t="s">
        <v>16</v>
      </c>
      <c r="H25" s="19" t="s">
        <v>17</v>
      </c>
      <c r="I25" s="21"/>
      <c r="J25" s="20" t="s">
        <v>50</v>
      </c>
      <c r="K25" s="19" t="s">
        <v>17</v>
      </c>
      <c r="L25" s="22"/>
      <c r="M25" s="23">
        <f t="shared" si="0"/>
        <v>0</v>
      </c>
    </row>
    <row r="26" spans="1:13" ht="15.75" customHeight="1" x14ac:dyDescent="0.2">
      <c r="A26" s="80"/>
      <c r="B26" s="80"/>
      <c r="C26" s="44" t="s">
        <v>53</v>
      </c>
      <c r="D26" s="44" t="s">
        <v>54</v>
      </c>
      <c r="E26" s="19"/>
      <c r="F26" s="20" t="s">
        <v>39</v>
      </c>
      <c r="G26" s="19" t="s">
        <v>16</v>
      </c>
      <c r="H26" s="19" t="s">
        <v>17</v>
      </c>
      <c r="I26" s="21"/>
      <c r="J26" s="20" t="s">
        <v>29</v>
      </c>
      <c r="K26" s="19" t="s">
        <v>17</v>
      </c>
      <c r="L26" s="22"/>
      <c r="M26" s="23">
        <f t="shared" si="0"/>
        <v>0</v>
      </c>
    </row>
    <row r="27" spans="1:13" ht="15.75" customHeight="1" x14ac:dyDescent="0.2">
      <c r="A27" s="80"/>
      <c r="B27" s="80"/>
      <c r="C27" s="44" t="s">
        <v>55</v>
      </c>
      <c r="D27" s="44" t="s">
        <v>56</v>
      </c>
      <c r="E27" s="19"/>
      <c r="F27" s="20" t="s">
        <v>39</v>
      </c>
      <c r="G27" s="19" t="s">
        <v>16</v>
      </c>
      <c r="H27" s="19" t="s">
        <v>17</v>
      </c>
      <c r="I27" s="21"/>
      <c r="J27" s="20" t="s">
        <v>29</v>
      </c>
      <c r="K27" s="19" t="s">
        <v>17</v>
      </c>
      <c r="L27" s="22"/>
      <c r="M27" s="23">
        <f t="shared" si="0"/>
        <v>0</v>
      </c>
    </row>
    <row r="28" spans="1:13" ht="15.75" customHeight="1" x14ac:dyDescent="0.2">
      <c r="A28" s="80"/>
      <c r="B28" s="80"/>
      <c r="C28" s="44" t="s">
        <v>57</v>
      </c>
      <c r="D28" s="44" t="s">
        <v>58</v>
      </c>
      <c r="E28" s="19"/>
      <c r="F28" s="20" t="s">
        <v>39</v>
      </c>
      <c r="G28" s="19" t="s">
        <v>16</v>
      </c>
      <c r="H28" s="19" t="s">
        <v>17</v>
      </c>
      <c r="I28" s="21"/>
      <c r="J28" s="20" t="s">
        <v>29</v>
      </c>
      <c r="K28" s="19" t="s">
        <v>17</v>
      </c>
      <c r="L28" s="22"/>
      <c r="M28" s="23">
        <f t="shared" si="0"/>
        <v>0</v>
      </c>
    </row>
    <row r="29" spans="1:13" ht="15.75" customHeight="1" x14ac:dyDescent="0.2">
      <c r="A29" s="80"/>
      <c r="B29" s="80"/>
      <c r="C29" s="44"/>
      <c r="D29" s="44"/>
      <c r="E29" s="19"/>
      <c r="F29" s="20"/>
      <c r="G29" s="19"/>
      <c r="H29" s="19"/>
      <c r="I29" s="21"/>
      <c r="J29" s="20"/>
      <c r="K29" s="19"/>
      <c r="L29" s="22"/>
      <c r="M29" s="23"/>
    </row>
    <row r="30" spans="1:13" ht="15.75" customHeight="1" x14ac:dyDescent="0.2">
      <c r="A30" s="80"/>
      <c r="B30" s="80"/>
      <c r="C30" s="44" t="s">
        <v>59</v>
      </c>
      <c r="D30" s="44" t="s">
        <v>60</v>
      </c>
      <c r="E30" s="19"/>
      <c r="F30" s="20" t="s">
        <v>39</v>
      </c>
      <c r="G30" s="19" t="s">
        <v>16</v>
      </c>
      <c r="H30" s="19" t="s">
        <v>17</v>
      </c>
      <c r="I30" s="21"/>
      <c r="J30" s="20" t="s">
        <v>29</v>
      </c>
      <c r="K30" s="19" t="s">
        <v>17</v>
      </c>
      <c r="L30" s="22"/>
      <c r="M30" s="23">
        <f t="shared" ref="M30:M31" si="1">E30*I30*L30</f>
        <v>0</v>
      </c>
    </row>
    <row r="31" spans="1:13" ht="15.75" customHeight="1" x14ac:dyDescent="0.2">
      <c r="A31" s="80"/>
      <c r="B31" s="80"/>
      <c r="C31" s="44" t="s">
        <v>61</v>
      </c>
      <c r="D31" s="44" t="s">
        <v>62</v>
      </c>
      <c r="E31" s="19"/>
      <c r="F31" s="20" t="s">
        <v>39</v>
      </c>
      <c r="G31" s="19" t="s">
        <v>16</v>
      </c>
      <c r="H31" s="19" t="s">
        <v>17</v>
      </c>
      <c r="I31" s="21"/>
      <c r="J31" s="20" t="s">
        <v>29</v>
      </c>
      <c r="K31" s="19" t="s">
        <v>17</v>
      </c>
      <c r="L31" s="22"/>
      <c r="M31" s="23">
        <f t="shared" si="1"/>
        <v>0</v>
      </c>
    </row>
    <row r="32" spans="1:13" ht="15.75" customHeight="1" x14ac:dyDescent="0.2">
      <c r="A32" s="80"/>
      <c r="B32" s="80"/>
      <c r="C32" s="44" t="s">
        <v>63</v>
      </c>
      <c r="D32" s="44"/>
      <c r="E32" s="19"/>
      <c r="F32" s="20"/>
      <c r="G32" s="19"/>
      <c r="H32" s="19"/>
      <c r="I32" s="21"/>
      <c r="J32" s="20"/>
      <c r="K32" s="19"/>
      <c r="L32" s="22"/>
      <c r="M32" s="23"/>
    </row>
    <row r="33" spans="1:14" ht="15.75" customHeight="1" x14ac:dyDescent="0.2">
      <c r="A33" s="80"/>
      <c r="B33" s="80"/>
      <c r="C33" s="44" t="s">
        <v>64</v>
      </c>
      <c r="D33" s="44" t="s">
        <v>65</v>
      </c>
      <c r="E33" s="19"/>
      <c r="F33" s="20" t="s">
        <v>39</v>
      </c>
      <c r="G33" s="19" t="s">
        <v>16</v>
      </c>
      <c r="H33" s="19" t="s">
        <v>17</v>
      </c>
      <c r="I33" s="21"/>
      <c r="J33" s="20" t="s">
        <v>34</v>
      </c>
      <c r="K33" s="19" t="s">
        <v>17</v>
      </c>
      <c r="L33" s="22"/>
      <c r="M33" s="23">
        <f t="shared" ref="M33:M37" si="2">E33*I33*L33</f>
        <v>0</v>
      </c>
    </row>
    <row r="34" spans="1:14" ht="15.75" customHeight="1" x14ac:dyDescent="0.2">
      <c r="A34" s="80"/>
      <c r="B34" s="80"/>
      <c r="C34" s="44" t="s">
        <v>66</v>
      </c>
      <c r="D34" s="44" t="s">
        <v>67</v>
      </c>
      <c r="E34" s="19"/>
      <c r="F34" s="20" t="s">
        <v>39</v>
      </c>
      <c r="G34" s="19" t="s">
        <v>16</v>
      </c>
      <c r="H34" s="19" t="s">
        <v>17</v>
      </c>
      <c r="I34" s="21"/>
      <c r="J34" s="20" t="s">
        <v>34</v>
      </c>
      <c r="K34" s="19" t="s">
        <v>17</v>
      </c>
      <c r="L34" s="22"/>
      <c r="M34" s="23">
        <f t="shared" si="2"/>
        <v>0</v>
      </c>
    </row>
    <row r="35" spans="1:14" ht="15.75" customHeight="1" x14ac:dyDescent="0.2">
      <c r="A35" s="80"/>
      <c r="B35" s="80"/>
      <c r="C35" s="44" t="s">
        <v>68</v>
      </c>
      <c r="D35" s="44" t="s">
        <v>69</v>
      </c>
      <c r="E35" s="19"/>
      <c r="F35" s="20" t="s">
        <v>39</v>
      </c>
      <c r="G35" s="19" t="s">
        <v>16</v>
      </c>
      <c r="H35" s="19" t="s">
        <v>17</v>
      </c>
      <c r="I35" s="21"/>
      <c r="J35" s="20" t="s">
        <v>34</v>
      </c>
      <c r="K35" s="19" t="s">
        <v>17</v>
      </c>
      <c r="L35" s="22"/>
      <c r="M35" s="23">
        <f t="shared" si="2"/>
        <v>0</v>
      </c>
    </row>
    <row r="36" spans="1:14" ht="15.75" customHeight="1" x14ac:dyDescent="0.2">
      <c r="A36" s="80"/>
      <c r="B36" s="80"/>
      <c r="C36" s="44" t="s">
        <v>70</v>
      </c>
      <c r="D36" s="47" t="s">
        <v>71</v>
      </c>
      <c r="E36" s="19"/>
      <c r="F36" s="20" t="s">
        <v>39</v>
      </c>
      <c r="G36" s="19" t="s">
        <v>16</v>
      </c>
      <c r="H36" s="19" t="s">
        <v>17</v>
      </c>
      <c r="I36" s="21"/>
      <c r="J36" s="20" t="s">
        <v>72</v>
      </c>
      <c r="K36" s="19" t="s">
        <v>17</v>
      </c>
      <c r="L36" s="22"/>
      <c r="M36" s="23">
        <f t="shared" si="2"/>
        <v>0</v>
      </c>
    </row>
    <row r="37" spans="1:14" ht="15.75" customHeight="1" x14ac:dyDescent="0.2">
      <c r="A37" s="80"/>
      <c r="B37" s="83"/>
      <c r="C37" s="44" t="s">
        <v>73</v>
      </c>
      <c r="D37" s="47" t="s">
        <v>74</v>
      </c>
      <c r="E37" s="19"/>
      <c r="F37" s="20" t="s">
        <v>39</v>
      </c>
      <c r="G37" s="19" t="s">
        <v>16</v>
      </c>
      <c r="H37" s="19" t="s">
        <v>17</v>
      </c>
      <c r="I37" s="21"/>
      <c r="J37" s="20" t="s">
        <v>75</v>
      </c>
      <c r="K37" s="19" t="s">
        <v>17</v>
      </c>
      <c r="L37" s="22"/>
      <c r="M37" s="23">
        <f t="shared" si="2"/>
        <v>0</v>
      </c>
    </row>
    <row r="38" spans="1:14" ht="15.75" customHeight="1" x14ac:dyDescent="0.2">
      <c r="A38" s="80"/>
      <c r="B38" s="24" t="s">
        <v>76</v>
      </c>
      <c r="C38" s="99" t="s">
        <v>77</v>
      </c>
      <c r="D38" s="94"/>
      <c r="E38" s="94"/>
      <c r="F38" s="94"/>
      <c r="G38" s="94"/>
      <c r="H38" s="94"/>
      <c r="I38" s="94"/>
      <c r="J38" s="94"/>
      <c r="K38" s="94"/>
      <c r="L38" s="95"/>
      <c r="M38" s="43">
        <f>SUM(M39+M40)</f>
        <v>0</v>
      </c>
    </row>
    <row r="39" spans="1:14" ht="15.75" customHeight="1" x14ac:dyDescent="0.2">
      <c r="A39" s="80"/>
      <c r="B39" s="84"/>
      <c r="C39" s="44" t="s">
        <v>78</v>
      </c>
      <c r="D39" s="20" t="s">
        <v>79</v>
      </c>
      <c r="E39" s="19"/>
      <c r="F39" s="20" t="s">
        <v>15</v>
      </c>
      <c r="G39" s="19" t="s">
        <v>16</v>
      </c>
      <c r="H39" s="19" t="s">
        <v>17</v>
      </c>
      <c r="I39" s="21"/>
      <c r="J39" s="20" t="s">
        <v>50</v>
      </c>
      <c r="K39" s="19" t="s">
        <v>17</v>
      </c>
      <c r="L39" s="22"/>
      <c r="M39" s="23">
        <f t="shared" ref="M39:M40" si="3">E39*I39*L39</f>
        <v>0</v>
      </c>
    </row>
    <row r="40" spans="1:14" ht="15.75" customHeight="1" x14ac:dyDescent="0.2">
      <c r="A40" s="80"/>
      <c r="B40" s="83"/>
      <c r="C40" s="44" t="s">
        <v>80</v>
      </c>
      <c r="D40" s="20" t="s">
        <v>81</v>
      </c>
      <c r="E40" s="19"/>
      <c r="F40" s="20" t="s">
        <v>15</v>
      </c>
      <c r="G40" s="19" t="s">
        <v>16</v>
      </c>
      <c r="H40" s="19" t="s">
        <v>17</v>
      </c>
      <c r="I40" s="21"/>
      <c r="J40" s="20" t="s">
        <v>82</v>
      </c>
      <c r="K40" s="19" t="s">
        <v>17</v>
      </c>
      <c r="L40" s="22"/>
      <c r="M40" s="23">
        <f t="shared" si="3"/>
        <v>0</v>
      </c>
    </row>
    <row r="41" spans="1:14" ht="15.75" customHeight="1" x14ac:dyDescent="0.2">
      <c r="A41" s="80"/>
      <c r="B41" s="48" t="s">
        <v>83</v>
      </c>
      <c r="C41" s="96" t="s">
        <v>84</v>
      </c>
      <c r="D41" s="94"/>
      <c r="E41" s="94"/>
      <c r="F41" s="94"/>
      <c r="G41" s="94"/>
      <c r="H41" s="94"/>
      <c r="I41" s="94"/>
      <c r="J41" s="94"/>
      <c r="K41" s="94"/>
      <c r="L41" s="95"/>
      <c r="M41" s="43">
        <f>SUM(M42+M43+M44)</f>
        <v>0</v>
      </c>
    </row>
    <row r="42" spans="1:14" ht="15.75" customHeight="1" x14ac:dyDescent="0.2">
      <c r="A42" s="80"/>
      <c r="B42" s="85"/>
      <c r="C42" s="18" t="s">
        <v>85</v>
      </c>
      <c r="D42" s="49" t="s">
        <v>86</v>
      </c>
      <c r="E42" s="50"/>
      <c r="F42" s="49" t="s">
        <v>15</v>
      </c>
      <c r="G42" s="50" t="s">
        <v>16</v>
      </c>
      <c r="H42" s="50" t="s">
        <v>17</v>
      </c>
      <c r="I42" s="51"/>
      <c r="J42" s="49" t="s">
        <v>18</v>
      </c>
      <c r="K42" s="50" t="s">
        <v>17</v>
      </c>
      <c r="L42" s="22"/>
      <c r="M42" s="23">
        <f t="shared" ref="M42:M44" si="4">E42*I42*L42</f>
        <v>0</v>
      </c>
    </row>
    <row r="43" spans="1:14" ht="15.75" customHeight="1" x14ac:dyDescent="0.2">
      <c r="A43" s="80"/>
      <c r="B43" s="80"/>
      <c r="C43" s="52" t="s">
        <v>87</v>
      </c>
      <c r="D43" s="49" t="s">
        <v>88</v>
      </c>
      <c r="E43" s="50"/>
      <c r="F43" s="49" t="s">
        <v>15</v>
      </c>
      <c r="G43" s="50" t="s">
        <v>16</v>
      </c>
      <c r="H43" s="50" t="s">
        <v>17</v>
      </c>
      <c r="I43" s="51"/>
      <c r="J43" s="49" t="s">
        <v>50</v>
      </c>
      <c r="K43" s="50" t="s">
        <v>17</v>
      </c>
      <c r="L43" s="22"/>
      <c r="M43" s="23">
        <f t="shared" si="4"/>
        <v>0</v>
      </c>
    </row>
    <row r="44" spans="1:14" ht="15.75" customHeight="1" x14ac:dyDescent="0.2">
      <c r="A44" s="80"/>
      <c r="B44" s="83"/>
      <c r="C44" s="52" t="s">
        <v>89</v>
      </c>
      <c r="D44" s="18" t="s">
        <v>90</v>
      </c>
      <c r="E44" s="53"/>
      <c r="F44" s="18" t="s">
        <v>15</v>
      </c>
      <c r="G44" s="53" t="s">
        <v>16</v>
      </c>
      <c r="H44" s="53" t="s">
        <v>17</v>
      </c>
      <c r="I44" s="54"/>
      <c r="J44" s="18" t="s">
        <v>50</v>
      </c>
      <c r="K44" s="53" t="s">
        <v>17</v>
      </c>
      <c r="L44" s="22"/>
      <c r="M44" s="23">
        <f t="shared" si="4"/>
        <v>0</v>
      </c>
    </row>
    <row r="45" spans="1:14" ht="15.75" customHeight="1" x14ac:dyDescent="0.2">
      <c r="A45" s="80"/>
      <c r="B45" s="55" t="s">
        <v>91</v>
      </c>
      <c r="C45" s="96" t="s">
        <v>92</v>
      </c>
      <c r="D45" s="94"/>
      <c r="E45" s="94"/>
      <c r="F45" s="94"/>
      <c r="G45" s="94"/>
      <c r="H45" s="94"/>
      <c r="I45" s="94"/>
      <c r="J45" s="94"/>
      <c r="K45" s="94"/>
      <c r="L45" s="95"/>
      <c r="M45" s="43">
        <f>SUM(M46+M47)</f>
        <v>0</v>
      </c>
    </row>
    <row r="46" spans="1:14" ht="15.75" customHeight="1" x14ac:dyDescent="0.2">
      <c r="A46" s="80"/>
      <c r="B46" s="86"/>
      <c r="C46" s="56" t="s">
        <v>85</v>
      </c>
      <c r="D46" s="57" t="s">
        <v>79</v>
      </c>
      <c r="E46" s="58"/>
      <c r="F46" s="57" t="s">
        <v>15</v>
      </c>
      <c r="G46" s="58" t="s">
        <v>16</v>
      </c>
      <c r="H46" s="58" t="s">
        <v>17</v>
      </c>
      <c r="I46" s="59"/>
      <c r="J46" s="57" t="s">
        <v>50</v>
      </c>
      <c r="K46" s="58" t="s">
        <v>17</v>
      </c>
      <c r="L46" s="22"/>
      <c r="M46" s="23">
        <f t="shared" ref="M46:M47" si="5">E46*I46*L46</f>
        <v>0</v>
      </c>
    </row>
    <row r="47" spans="1:14" ht="15.75" customHeight="1" x14ac:dyDescent="0.2">
      <c r="A47" s="83"/>
      <c r="B47" s="83"/>
      <c r="C47" s="56" t="s">
        <v>87</v>
      </c>
      <c r="D47" s="56" t="s">
        <v>93</v>
      </c>
      <c r="E47" s="60"/>
      <c r="F47" s="56" t="s">
        <v>15</v>
      </c>
      <c r="G47" s="60" t="s">
        <v>16</v>
      </c>
      <c r="H47" s="60" t="s">
        <v>17</v>
      </c>
      <c r="I47" s="61"/>
      <c r="J47" s="56" t="s">
        <v>50</v>
      </c>
      <c r="K47" s="60" t="s">
        <v>17</v>
      </c>
      <c r="L47" s="22"/>
      <c r="M47" s="23">
        <f t="shared" si="5"/>
        <v>0</v>
      </c>
    </row>
    <row r="48" spans="1:14" ht="15.75" customHeight="1" x14ac:dyDescent="0.15">
      <c r="A48" s="62">
        <v>4</v>
      </c>
      <c r="B48" s="97" t="s">
        <v>94</v>
      </c>
      <c r="C48" s="94"/>
      <c r="D48" s="94"/>
      <c r="E48" s="94"/>
      <c r="F48" s="94"/>
      <c r="G48" s="94"/>
      <c r="H48" s="94"/>
      <c r="I48" s="94"/>
      <c r="J48" s="94"/>
      <c r="K48" s="94"/>
      <c r="L48" s="95"/>
      <c r="M48" s="7">
        <f>SUM(M49+M59+M62+M66)</f>
        <v>0</v>
      </c>
      <c r="N48" s="63"/>
    </row>
    <row r="49" spans="1:13" ht="15.75" customHeight="1" x14ac:dyDescent="0.2">
      <c r="A49" s="89"/>
      <c r="B49" s="64">
        <v>45295</v>
      </c>
      <c r="C49" s="98" t="s">
        <v>95</v>
      </c>
      <c r="D49" s="94"/>
      <c r="E49" s="94"/>
      <c r="F49" s="94"/>
      <c r="G49" s="94"/>
      <c r="H49" s="94"/>
      <c r="I49" s="94"/>
      <c r="J49" s="94"/>
      <c r="K49" s="94"/>
      <c r="L49" s="95"/>
      <c r="M49" s="43">
        <f>SUM(M50+M51+M53)</f>
        <v>0</v>
      </c>
    </row>
    <row r="50" spans="1:13" ht="15.75" customHeight="1" x14ac:dyDescent="0.2">
      <c r="A50" s="83"/>
      <c r="B50" s="56"/>
      <c r="C50" s="65" t="s">
        <v>96</v>
      </c>
      <c r="D50" s="56" t="s">
        <v>97</v>
      </c>
      <c r="E50" s="58">
        <v>0</v>
      </c>
      <c r="F50" s="57" t="s">
        <v>15</v>
      </c>
      <c r="G50" s="58" t="s">
        <v>16</v>
      </c>
      <c r="H50" s="58" t="s">
        <v>17</v>
      </c>
      <c r="I50" s="59"/>
      <c r="J50" s="57" t="s">
        <v>18</v>
      </c>
      <c r="K50" s="58" t="s">
        <v>17</v>
      </c>
      <c r="L50" s="22"/>
      <c r="M50" s="23">
        <f>E50*I50*L50</f>
        <v>0</v>
      </c>
    </row>
    <row r="51" spans="1:13" ht="15.75" customHeight="1" x14ac:dyDescent="0.15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</row>
    <row r="52" spans="1:13" ht="15.75" customHeight="1" x14ac:dyDescent="0.15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</row>
    <row r="53" spans="1:13" ht="15.75" customHeight="1" x14ac:dyDescent="0.15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</row>
    <row r="54" spans="1:13" ht="15.75" customHeight="1" x14ac:dyDescent="0.15">
      <c r="A54" s="66"/>
    </row>
    <row r="55" spans="1:13" ht="15.75" customHeight="1" x14ac:dyDescent="0.15">
      <c r="A55" s="66"/>
    </row>
    <row r="56" spans="1:13" ht="15.75" customHeight="1" x14ac:dyDescent="0.15"/>
    <row r="57" spans="1:13" ht="15.75" customHeight="1" x14ac:dyDescent="0.15"/>
    <row r="58" spans="1:13" ht="15.75" customHeight="1" x14ac:dyDescent="0.15"/>
    <row r="59" spans="1:13" ht="15.75" customHeight="1" x14ac:dyDescent="0.15"/>
    <row r="60" spans="1:13" ht="15.75" customHeight="1" x14ac:dyDescent="0.15"/>
    <row r="61" spans="1:13" ht="15.75" customHeight="1" x14ac:dyDescent="0.15"/>
    <row r="62" spans="1:13" ht="15.75" customHeight="1" x14ac:dyDescent="0.15"/>
    <row r="63" spans="1:13" ht="15.75" customHeight="1" x14ac:dyDescent="0.15"/>
    <row r="64" spans="1:13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  <row r="1011" ht="15.75" customHeight="1" x14ac:dyDescent="0.15"/>
    <row r="1012" ht="15.75" customHeight="1" x14ac:dyDescent="0.15"/>
    <row r="1013" ht="15.75" customHeight="1" x14ac:dyDescent="0.15"/>
    <row r="1014" ht="15.75" customHeight="1" x14ac:dyDescent="0.15"/>
    <row r="1015" ht="15.75" customHeight="1" x14ac:dyDescent="0.15"/>
    <row r="1016" ht="15.75" customHeight="1" x14ac:dyDescent="0.15"/>
  </sheetData>
  <mergeCells count="24">
    <mergeCell ref="A49:A50"/>
    <mergeCell ref="C8:L8"/>
    <mergeCell ref="C10:L10"/>
    <mergeCell ref="C14:L14"/>
    <mergeCell ref="C41:L41"/>
    <mergeCell ref="C45:L45"/>
    <mergeCell ref="B48:L48"/>
    <mergeCell ref="C49:L49"/>
    <mergeCell ref="C38:L38"/>
    <mergeCell ref="B39:B40"/>
    <mergeCell ref="B42:B44"/>
    <mergeCell ref="B46:B47"/>
    <mergeCell ref="A14:A47"/>
    <mergeCell ref="B15:B37"/>
    <mergeCell ref="C6:L6"/>
    <mergeCell ref="B7:L7"/>
    <mergeCell ref="A3:C3"/>
    <mergeCell ref="A8:A12"/>
    <mergeCell ref="B11:B12"/>
    <mergeCell ref="A1:M1"/>
    <mergeCell ref="A2:M2"/>
    <mergeCell ref="B4:D4"/>
    <mergeCell ref="E4:L4"/>
    <mergeCell ref="B5:L5"/>
  </mergeCells>
  <pageMargins left="7.3251942286348501E-2" right="0.62714851485148504" top="0.146503884572697" bottom="0" header="0" footer="0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Rizqi Aji Pratama</cp:lastModifiedBy>
  <dcterms:created xsi:type="dcterms:W3CDTF">2024-01-15T00:34:00Z</dcterms:created>
  <dcterms:modified xsi:type="dcterms:W3CDTF">2026-04-24T04:08:47Z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1033-12.8.2.14802</vt:lpwstr>
  </property>
</Properties>
</file>