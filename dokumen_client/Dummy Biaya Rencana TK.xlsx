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acintoshhd/Downloads/"/>
    </mc:Choice>
  </mc:AlternateContent>
  <xr:revisionPtr revIDLastSave="0" documentId="13_ncr:1_{B0CEC60E-427A-2F47-B63E-8D4DFC0E0CFA}" xr6:coauthVersionLast="47" xr6:coauthVersionMax="47" xr10:uidLastSave="{00000000-0000-0000-0000-000000000000}"/>
  <bookViews>
    <workbookView xWindow="0" yWindow="600" windowWidth="33600" windowHeight="20400" activeTab="1" xr2:uid="{00000000-000D-0000-FFFF-FFFF00000000}"/>
  </bookViews>
  <sheets>
    <sheet name="SAVING 0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D11" i="2"/>
  <c r="C11" i="2"/>
  <c r="H32" i="1"/>
  <c r="C45" i="1" s="1"/>
  <c r="E32" i="1"/>
  <c r="H31" i="1"/>
  <c r="E31" i="1"/>
  <c r="H30" i="1"/>
  <c r="E30" i="1"/>
  <c r="H29" i="1"/>
  <c r="E29" i="1"/>
  <c r="H28" i="1"/>
  <c r="E28" i="1"/>
  <c r="H27" i="1"/>
  <c r="E27" i="1"/>
  <c r="H26" i="1"/>
  <c r="E26" i="1"/>
  <c r="H25" i="1"/>
  <c r="E25" i="1"/>
  <c r="H20" i="1"/>
  <c r="E20" i="1"/>
  <c r="H19" i="1"/>
  <c r="H21" i="1" s="1"/>
  <c r="E19" i="1"/>
  <c r="E21" i="1" s="1"/>
  <c r="C37" i="1" s="1"/>
  <c r="D15" i="1"/>
  <c r="C44" i="1" s="1"/>
  <c r="B9" i="1"/>
  <c r="E8" i="1"/>
  <c r="C14" i="1" s="1"/>
  <c r="E14" i="1" s="1"/>
  <c r="E7" i="1"/>
  <c r="E6" i="1"/>
  <c r="E5" i="1"/>
  <c r="C13" i="1" s="1"/>
  <c r="E13" i="1" s="1"/>
  <c r="E4" i="1"/>
  <c r="C12" i="1" s="1"/>
  <c r="E12" i="1" s="1"/>
  <c r="E3" i="1"/>
  <c r="C11" i="1" s="1"/>
  <c r="E11" i="1" s="1"/>
  <c r="E15" i="1" s="1"/>
  <c r="E33" i="1" l="1"/>
  <c r="C38" i="1" s="1"/>
  <c r="C39" i="1"/>
  <c r="C40" i="1" s="1"/>
  <c r="H33" i="1"/>
  <c r="E9" i="1"/>
  <c r="C43" i="1" s="1"/>
  <c r="C46" i="1" s="1"/>
  <c r="C48" i="1" s="1"/>
</calcChain>
</file>

<file path=xl/sharedStrings.xml><?xml version="1.0" encoding="utf-8"?>
<sst xmlns="http://schemas.openxmlformats.org/spreadsheetml/2006/main" count="113" uniqueCount="62">
  <si>
    <t>Keterangan</t>
  </si>
  <si>
    <t>Biaya Masuk/Siswa</t>
  </si>
  <si>
    <t>Target Siswa</t>
  </si>
  <si>
    <t>Jumlah</t>
  </si>
  <si>
    <t>DPP</t>
  </si>
  <si>
    <t>x</t>
  </si>
  <si>
    <t>12</t>
  </si>
  <si>
    <t>Kegiatan Tahunan</t>
  </si>
  <si>
    <t>Seragam</t>
  </si>
  <si>
    <t>SPP Normal</t>
  </si>
  <si>
    <t>SPP Fullday</t>
  </si>
  <si>
    <t>0</t>
  </si>
  <si>
    <t>Pendaftaran</t>
  </si>
  <si>
    <t>TOTAL</t>
  </si>
  <si>
    <t>Person</t>
  </si>
  <si>
    <t>Perencanaan</t>
  </si>
  <si>
    <t>Pengeluaran Real</t>
  </si>
  <si>
    <t>Saving</t>
  </si>
  <si>
    <t>Pemasukan Bulanan</t>
  </si>
  <si>
    <t xml:space="preserve">Biaya </t>
  </si>
  <si>
    <t xml:space="preserve">Jumlah </t>
  </si>
  <si>
    <t>1 Bulan</t>
  </si>
  <si>
    <t>Jumlah Pembayaran</t>
  </si>
  <si>
    <t>TOTAL 1 TAHUN</t>
  </si>
  <si>
    <t>Total</t>
  </si>
  <si>
    <t>Pengeluaran Bulanan</t>
  </si>
  <si>
    <t>Listrik</t>
  </si>
  <si>
    <t>Makan siswa fullday</t>
  </si>
  <si>
    <t>Jasa Kebersihan</t>
  </si>
  <si>
    <t>Alat Kebersihan</t>
  </si>
  <si>
    <t>Mukafaah Guru 1</t>
  </si>
  <si>
    <t>Mukafaah Guru 2 + Kurikulum</t>
  </si>
  <si>
    <t>Tambahan Mukafaah Siswa Fullday</t>
  </si>
  <si>
    <t>THR (1 tahun sekali)</t>
  </si>
  <si>
    <t>Saving Perbulan</t>
  </si>
  <si>
    <t>Sisa Bulanan</t>
  </si>
  <si>
    <t>Sisa Dalam Setahun</t>
  </si>
  <si>
    <t>Saving Uang Masuk</t>
  </si>
  <si>
    <t>Uang Masuk</t>
  </si>
  <si>
    <t>Pengeluaran Sapras, Kegiatan Tahunan, dan Seragam</t>
  </si>
  <si>
    <t>Tunjangan Hari Raya</t>
  </si>
  <si>
    <t>Sisa Uang Masuk</t>
  </si>
  <si>
    <t xml:space="preserve">TOTAL SAVING </t>
  </si>
  <si>
    <t>(Sisa Dalam Satu Tahun + Sisa Uang Masuk)</t>
  </si>
  <si>
    <t>*harapan ada saving pertahun untuk membeli kebutuhan yang lainnya, disatu sisi kita belum tahu keuangan di tahun depan siswa mencapai target atau tidak, jadi harus ada saving</t>
  </si>
  <si>
    <t>*Saving ini baru perencanaan, kita baru tahun pertama jadi belum tahu realnya, harapan ana bisa save minimal 10jt</t>
  </si>
  <si>
    <t xml:space="preserve"> </t>
  </si>
  <si>
    <t>No</t>
  </si>
  <si>
    <t>KETERANGAN</t>
  </si>
  <si>
    <t>BIAYA</t>
  </si>
  <si>
    <t xml:space="preserve">REGULER </t>
  </si>
  <si>
    <t>REGULER OPSI 2</t>
  </si>
  <si>
    <t>FULLDAY</t>
  </si>
  <si>
    <t>PENDAFTARAN</t>
  </si>
  <si>
    <t>KEGIATAN TAHUNAN</t>
  </si>
  <si>
    <t>SERAGAM</t>
  </si>
  <si>
    <t>INFAQ BULANAN PENDIDIKAN</t>
  </si>
  <si>
    <t xml:space="preserve">SNACK </t>
  </si>
  <si>
    <t>JUMLAH</t>
  </si>
  <si>
    <t>Abu Ahnaf</t>
  </si>
  <si>
    <t>Pengalihan anggaran seragam dialihakan 100k untuk kegiatan tahunan siswa</t>
  </si>
  <si>
    <t xml:space="preserve">Di RKAS lebih diperinci lagi terkait dengan administrasi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</si>
</sst>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.00"/>
    <numFmt numFmtId="165" formatCode="[$Rp]#,##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1" xfId="0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164" fontId="2" fillId="0" borderId="0" xfId="0" applyNumberFormat="1" applyFont="1"/>
    <xf numFmtId="0" fontId="2" fillId="0" borderId="1" xfId="0" applyFont="1" applyBorder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/>
    <xf numFmtId="49" fontId="1" fillId="3" borderId="0" xfId="0" applyNumberFormat="1" applyFont="1" applyFill="1"/>
    <xf numFmtId="0" fontId="1" fillId="4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3" fontId="2" fillId="0" borderId="0" xfId="0" applyNumberFormat="1" applyFont="1"/>
    <xf numFmtId="165" fontId="2" fillId="0" borderId="1" xfId="0" applyNumberFormat="1" applyFont="1" applyBorder="1"/>
    <xf numFmtId="3" fontId="2" fillId="0" borderId="1" xfId="0" applyNumberFormat="1" applyFont="1" applyBorder="1"/>
    <xf numFmtId="165" fontId="1" fillId="3" borderId="0" xfId="0" applyNumberFormat="1" applyFont="1" applyFill="1"/>
    <xf numFmtId="49" fontId="2" fillId="0" borderId="0" xfId="0" applyNumberFormat="1" applyFont="1"/>
    <xf numFmtId="0" fontId="3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2" fillId="0" borderId="1" xfId="0" applyFont="1" applyBorder="1"/>
    <xf numFmtId="0" fontId="2" fillId="5" borderId="1" xfId="0" applyFont="1" applyFill="1" applyBorder="1"/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3" borderId="0" xfId="0" applyFont="1" applyFill="1"/>
    <xf numFmtId="0" fontId="3" fillId="5" borderId="0" xfId="0" applyFont="1" applyFill="1" applyAlignment="1">
      <alignment horizontal="center"/>
    </xf>
    <xf numFmtId="164" fontId="2" fillId="3" borderId="0" xfId="0" applyNumberFormat="1" applyFont="1" applyFill="1"/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2" fillId="10" borderId="0" xfId="0" applyNumberFormat="1" applyFont="1" applyFill="1"/>
    <xf numFmtId="164" fontId="2" fillId="11" borderId="0" xfId="0" applyNumberFormat="1" applyFont="1" applyFill="1"/>
    <xf numFmtId="164" fontId="2" fillId="12" borderId="0" xfId="0" applyNumberFormat="1" applyFont="1" applyFill="1"/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164" fontId="1" fillId="10" borderId="0" xfId="0" applyNumberFormat="1" applyFont="1" applyFill="1"/>
    <xf numFmtId="0" fontId="1" fillId="8" borderId="0" xfId="0" applyFont="1" applyFill="1" applyAlignment="1">
      <alignment horizontal="center" vertical="center"/>
    </xf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6" borderId="0" xfId="0" applyFont="1" applyFill="1" applyAlignment="1">
      <alignment horizontal="center"/>
    </xf>
    <xf numFmtId="0" fontId="6" fillId="0" borderId="2" xfId="0" applyFont="1" applyBorder="1"/>
    <xf numFmtId="0" fontId="7" fillId="0" borderId="3" xfId="0" applyFont="1" applyBorder="1"/>
    <xf numFmtId="164" fontId="6" fillId="0" borderId="2" xfId="0" applyNumberFormat="1" applyFont="1" applyBorder="1"/>
    <xf numFmtId="165" fontId="6" fillId="0" borderId="2" xfId="0" applyNumberFormat="1" applyFont="1" applyBorder="1"/>
    <xf numFmtId="0" fontId="3" fillId="6" borderId="0" xfId="0" applyFont="1" applyFill="1" applyAlignment="1">
      <alignment horizontal="center" vertical="center" wrapText="1"/>
    </xf>
    <xf numFmtId="164" fontId="8" fillId="7" borderId="0" xfId="0" applyNumberFormat="1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6" borderId="0" xfId="0" applyNumberFormat="1" applyFont="1" applyFill="1"/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K53"/>
  <sheetViews>
    <sheetView topLeftCell="A13" zoomScale="200" workbookViewId="0">
      <selection activeCell="B54" sqref="B54"/>
    </sheetView>
  </sheetViews>
  <sheetFormatPr baseColWidth="10" defaultColWidth="12.6640625" defaultRowHeight="15.75" customHeight="1" x14ac:dyDescent="0.15"/>
  <cols>
    <col min="1" max="1" width="28.83203125" customWidth="1"/>
    <col min="2" max="2" width="16.5" customWidth="1"/>
    <col min="3" max="3" width="14.1640625" customWidth="1"/>
    <col min="4" max="4" width="15.1640625" customWidth="1"/>
    <col min="5" max="5" width="14.83203125" bestFit="1" customWidth="1"/>
    <col min="6" max="6" width="19.33203125" customWidth="1"/>
    <col min="7" max="7" width="17" customWidth="1"/>
    <col min="8" max="8" width="15.6640625" customWidth="1"/>
    <col min="10" max="10" width="18.83203125" customWidth="1"/>
    <col min="11" max="11" width="16.33203125" customWidth="1"/>
  </cols>
  <sheetData>
    <row r="2" spans="1:10" ht="13" x14ac:dyDescent="0.15">
      <c r="A2" s="1" t="s">
        <v>0</v>
      </c>
      <c r="B2" s="1" t="s">
        <v>1</v>
      </c>
      <c r="C2" s="1"/>
      <c r="D2" s="1" t="s">
        <v>2</v>
      </c>
      <c r="E2" s="1" t="s">
        <v>3</v>
      </c>
    </row>
    <row r="3" spans="1:10" ht="13" x14ac:dyDescent="0.15">
      <c r="A3" s="2" t="s">
        <v>4</v>
      </c>
      <c r="B3" s="3"/>
      <c r="C3" s="4" t="s">
        <v>5</v>
      </c>
      <c r="D3" s="5" t="s">
        <v>6</v>
      </c>
      <c r="E3" s="3">
        <f t="shared" ref="E3:E8" si="0">SUM(B3*D3)</f>
        <v>0</v>
      </c>
      <c r="F3" s="6"/>
    </row>
    <row r="4" spans="1:10" ht="13" x14ac:dyDescent="0.15">
      <c r="A4" s="2" t="s">
        <v>7</v>
      </c>
      <c r="B4" s="3"/>
      <c r="C4" s="4" t="s">
        <v>5</v>
      </c>
      <c r="D4" s="5" t="s">
        <v>6</v>
      </c>
      <c r="E4" s="3">
        <f t="shared" si="0"/>
        <v>0</v>
      </c>
      <c r="F4" s="6"/>
    </row>
    <row r="5" spans="1:10" ht="13" x14ac:dyDescent="0.15">
      <c r="A5" s="2" t="s">
        <v>8</v>
      </c>
      <c r="B5" s="3"/>
      <c r="C5" s="4" t="s">
        <v>5</v>
      </c>
      <c r="D5" s="5" t="s">
        <v>6</v>
      </c>
      <c r="E5" s="3">
        <f t="shared" si="0"/>
        <v>0</v>
      </c>
      <c r="F5" s="6"/>
    </row>
    <row r="6" spans="1:10" ht="13" x14ac:dyDescent="0.15">
      <c r="A6" s="2" t="s">
        <v>9</v>
      </c>
      <c r="B6" s="3"/>
      <c r="C6" s="4" t="s">
        <v>5</v>
      </c>
      <c r="D6" s="5" t="s">
        <v>6</v>
      </c>
      <c r="E6" s="3">
        <f t="shared" si="0"/>
        <v>0</v>
      </c>
      <c r="F6" s="6"/>
    </row>
    <row r="7" spans="1:10" ht="13" x14ac:dyDescent="0.15">
      <c r="A7" s="2" t="s">
        <v>10</v>
      </c>
      <c r="B7" s="3"/>
      <c r="C7" s="4" t="s">
        <v>5</v>
      </c>
      <c r="D7" s="5" t="s">
        <v>11</v>
      </c>
      <c r="E7" s="3">
        <f t="shared" si="0"/>
        <v>0</v>
      </c>
    </row>
    <row r="8" spans="1:10" ht="13" x14ac:dyDescent="0.15">
      <c r="A8" s="2" t="s">
        <v>12</v>
      </c>
      <c r="B8" s="3"/>
      <c r="C8" s="7" t="s">
        <v>5</v>
      </c>
      <c r="D8" s="5" t="s">
        <v>6</v>
      </c>
      <c r="E8" s="3">
        <f t="shared" si="0"/>
        <v>0</v>
      </c>
    </row>
    <row r="9" spans="1:10" ht="13" x14ac:dyDescent="0.15">
      <c r="A9" s="8" t="s">
        <v>13</v>
      </c>
      <c r="B9" s="9">
        <f>SUM(B3+B4+B5+B6+B8)</f>
        <v>0</v>
      </c>
      <c r="C9" s="8"/>
      <c r="D9" s="10"/>
      <c r="E9" s="9">
        <f>SUM(E3:E8)</f>
        <v>0</v>
      </c>
    </row>
    <row r="10" spans="1:10" ht="13" x14ac:dyDescent="0.15">
      <c r="A10" s="11" t="s">
        <v>0</v>
      </c>
      <c r="B10" s="12" t="s">
        <v>14</v>
      </c>
      <c r="C10" s="11" t="s">
        <v>15</v>
      </c>
      <c r="D10" s="11" t="s">
        <v>16</v>
      </c>
      <c r="E10" s="11" t="s">
        <v>17</v>
      </c>
    </row>
    <row r="11" spans="1:10" ht="13" x14ac:dyDescent="0.15">
      <c r="A11" s="2" t="s">
        <v>4</v>
      </c>
      <c r="B11" s="3"/>
      <c r="C11" s="3">
        <f t="shared" ref="C11:C13" si="1">E3</f>
        <v>0</v>
      </c>
      <c r="D11" s="3"/>
      <c r="E11" s="3">
        <f t="shared" ref="E11:E14" si="2">SUM(C11-D11)</f>
        <v>0</v>
      </c>
      <c r="H11" s="13"/>
    </row>
    <row r="12" spans="1:10" ht="13" x14ac:dyDescent="0.15">
      <c r="A12" s="2" t="s">
        <v>7</v>
      </c>
      <c r="B12" s="3"/>
      <c r="C12" s="3">
        <f t="shared" si="1"/>
        <v>0</v>
      </c>
      <c r="D12" s="3"/>
      <c r="E12" s="3">
        <f t="shared" si="2"/>
        <v>0</v>
      </c>
      <c r="G12" s="13"/>
      <c r="H12" s="13"/>
      <c r="J12" s="6"/>
    </row>
    <row r="13" spans="1:10" ht="13" x14ac:dyDescent="0.15">
      <c r="A13" s="2" t="s">
        <v>8</v>
      </c>
      <c r="B13" s="3"/>
      <c r="C13" s="3">
        <f t="shared" si="1"/>
        <v>0</v>
      </c>
      <c r="D13" s="3"/>
      <c r="E13" s="3">
        <f t="shared" si="2"/>
        <v>0</v>
      </c>
      <c r="G13" s="13"/>
      <c r="H13" s="13"/>
      <c r="J13" s="6"/>
    </row>
    <row r="14" spans="1:10" ht="13" x14ac:dyDescent="0.15">
      <c r="A14" s="2" t="s">
        <v>12</v>
      </c>
      <c r="B14" s="3"/>
      <c r="C14" s="14">
        <f>E8</f>
        <v>0</v>
      </c>
      <c r="D14" s="15"/>
      <c r="E14" s="14">
        <f t="shared" si="2"/>
        <v>0</v>
      </c>
      <c r="H14" s="13"/>
      <c r="J14" s="6"/>
    </row>
    <row r="15" spans="1:10" ht="13" x14ac:dyDescent="0.15">
      <c r="A15" s="8" t="s">
        <v>13</v>
      </c>
      <c r="B15" s="8"/>
      <c r="C15" s="8"/>
      <c r="D15" s="16">
        <f>SUM(D11:D14)</f>
        <v>0</v>
      </c>
      <c r="E15" s="9">
        <f>SUM(E11:E14)</f>
        <v>0</v>
      </c>
      <c r="F15" s="6"/>
      <c r="H15" s="13"/>
    </row>
    <row r="16" spans="1:10" ht="13" x14ac:dyDescent="0.15">
      <c r="D16" s="17"/>
    </row>
    <row r="17" spans="1:11" ht="14" x14ac:dyDescent="0.15">
      <c r="A17" s="55" t="s">
        <v>18</v>
      </c>
      <c r="B17" s="42"/>
      <c r="C17" s="42"/>
      <c r="D17" s="42"/>
      <c r="E17" s="42"/>
      <c r="F17" s="42"/>
      <c r="G17" s="42"/>
      <c r="H17" s="18"/>
    </row>
    <row r="18" spans="1:11" ht="13" x14ac:dyDescent="0.15">
      <c r="A18" s="1" t="s">
        <v>0</v>
      </c>
      <c r="B18" s="1" t="s">
        <v>19</v>
      </c>
      <c r="C18" s="1"/>
      <c r="D18" s="19" t="s">
        <v>20</v>
      </c>
      <c r="E18" s="1" t="s">
        <v>21</v>
      </c>
      <c r="F18" s="1"/>
      <c r="G18" s="1" t="s">
        <v>22</v>
      </c>
      <c r="H18" s="1" t="s">
        <v>23</v>
      </c>
    </row>
    <row r="19" spans="1:11" ht="13" x14ac:dyDescent="0.15">
      <c r="A19" s="20" t="s">
        <v>9</v>
      </c>
      <c r="B19" s="3"/>
      <c r="C19" s="7" t="s">
        <v>5</v>
      </c>
      <c r="D19" s="20">
        <v>12</v>
      </c>
      <c r="E19" s="3">
        <f t="shared" ref="E19:E20" si="3">B19*D19</f>
        <v>0</v>
      </c>
      <c r="F19" s="7" t="s">
        <v>5</v>
      </c>
      <c r="G19" s="20">
        <v>12</v>
      </c>
      <c r="H19" s="3">
        <f t="shared" ref="H19:H20" si="4">SUM(B19*D19*G19)</f>
        <v>0</v>
      </c>
      <c r="K19" s="6"/>
    </row>
    <row r="20" spans="1:11" ht="13" x14ac:dyDescent="0.15">
      <c r="A20" s="21" t="s">
        <v>10</v>
      </c>
      <c r="B20" s="3"/>
      <c r="C20" s="7" t="s">
        <v>5</v>
      </c>
      <c r="D20" s="20">
        <v>0</v>
      </c>
      <c r="E20" s="3">
        <f t="shared" si="3"/>
        <v>0</v>
      </c>
      <c r="F20" s="7" t="s">
        <v>5</v>
      </c>
      <c r="G20" s="20">
        <v>12</v>
      </c>
      <c r="H20" s="3">
        <f t="shared" si="4"/>
        <v>0</v>
      </c>
    </row>
    <row r="21" spans="1:11" ht="13" x14ac:dyDescent="0.15">
      <c r="A21" s="59" t="s">
        <v>24</v>
      </c>
      <c r="B21" s="42"/>
      <c r="C21" s="42"/>
      <c r="D21" s="42"/>
      <c r="E21" s="23">
        <f>SUM(E19:E20)</f>
        <v>0</v>
      </c>
      <c r="F21" s="24" t="s">
        <v>5</v>
      </c>
      <c r="G21" s="25">
        <v>12</v>
      </c>
      <c r="H21" s="23">
        <f>SUM(H19:H20)</f>
        <v>0</v>
      </c>
    </row>
    <row r="22" spans="1:11" ht="14" x14ac:dyDescent="0.15">
      <c r="A22" s="26"/>
      <c r="B22" s="26"/>
      <c r="C22" s="26"/>
      <c r="D22" s="26"/>
      <c r="E22" s="26"/>
      <c r="F22" s="26"/>
      <c r="G22" s="26"/>
    </row>
    <row r="23" spans="1:11" ht="14" x14ac:dyDescent="0.15">
      <c r="A23" s="60" t="s">
        <v>25</v>
      </c>
      <c r="B23" s="42"/>
      <c r="C23" s="42"/>
      <c r="D23" s="42"/>
      <c r="E23" s="42"/>
      <c r="F23" s="42"/>
      <c r="G23" s="42"/>
    </row>
    <row r="24" spans="1:11" ht="13" x14ac:dyDescent="0.15">
      <c r="A24" s="1" t="s">
        <v>0</v>
      </c>
      <c r="B24" s="1" t="s">
        <v>19</v>
      </c>
      <c r="C24" s="1"/>
      <c r="D24" s="19" t="s">
        <v>20</v>
      </c>
      <c r="E24" s="1" t="s">
        <v>21</v>
      </c>
      <c r="F24" s="1"/>
      <c r="G24" s="1" t="s">
        <v>22</v>
      </c>
      <c r="H24" s="1" t="s">
        <v>23</v>
      </c>
    </row>
    <row r="25" spans="1:11" ht="13" x14ac:dyDescent="0.15">
      <c r="A25" s="20" t="s">
        <v>26</v>
      </c>
      <c r="B25" s="15"/>
      <c r="C25" s="7" t="s">
        <v>5</v>
      </c>
      <c r="D25" s="20">
        <v>1</v>
      </c>
      <c r="E25" s="3">
        <f t="shared" ref="E25:E32" si="5">B25*D25</f>
        <v>0</v>
      </c>
      <c r="F25" s="7" t="s">
        <v>5</v>
      </c>
      <c r="G25" s="20">
        <v>12</v>
      </c>
      <c r="H25" s="3">
        <f t="shared" ref="H25:H32" si="6">SUM(B25*D25*G25)</f>
        <v>0</v>
      </c>
    </row>
    <row r="26" spans="1:11" ht="13" x14ac:dyDescent="0.15">
      <c r="A26" s="20" t="s">
        <v>27</v>
      </c>
      <c r="B26" s="15"/>
      <c r="C26" s="7" t="s">
        <v>5</v>
      </c>
      <c r="D26" s="20">
        <v>1</v>
      </c>
      <c r="E26" s="3">
        <f t="shared" si="5"/>
        <v>0</v>
      </c>
      <c r="F26" s="7" t="s">
        <v>5</v>
      </c>
      <c r="G26" s="20">
        <v>12</v>
      </c>
      <c r="H26" s="3">
        <f t="shared" si="6"/>
        <v>0</v>
      </c>
    </row>
    <row r="27" spans="1:11" ht="13" x14ac:dyDescent="0.15">
      <c r="A27" s="20" t="s">
        <v>28</v>
      </c>
      <c r="B27" s="15"/>
      <c r="C27" s="7" t="s">
        <v>5</v>
      </c>
      <c r="D27" s="20">
        <v>1</v>
      </c>
      <c r="E27" s="3">
        <f t="shared" si="5"/>
        <v>0</v>
      </c>
      <c r="F27" s="7" t="s">
        <v>5</v>
      </c>
      <c r="G27" s="20">
        <v>12</v>
      </c>
      <c r="H27" s="3">
        <f t="shared" si="6"/>
        <v>0</v>
      </c>
    </row>
    <row r="28" spans="1:11" ht="13" x14ac:dyDescent="0.15">
      <c r="A28" s="20" t="s">
        <v>29</v>
      </c>
      <c r="B28" s="15"/>
      <c r="C28" s="7" t="s">
        <v>5</v>
      </c>
      <c r="D28" s="20">
        <v>1</v>
      </c>
      <c r="E28" s="3">
        <f t="shared" si="5"/>
        <v>0</v>
      </c>
      <c r="F28" s="7" t="s">
        <v>5</v>
      </c>
      <c r="G28" s="20">
        <v>12</v>
      </c>
      <c r="H28" s="3">
        <f t="shared" si="6"/>
        <v>0</v>
      </c>
    </row>
    <row r="29" spans="1:11" ht="13" x14ac:dyDescent="0.15">
      <c r="A29" s="20" t="s">
        <v>30</v>
      </c>
      <c r="B29" s="15"/>
      <c r="C29" s="7" t="s">
        <v>5</v>
      </c>
      <c r="D29" s="20">
        <v>1</v>
      </c>
      <c r="E29" s="3">
        <f t="shared" si="5"/>
        <v>0</v>
      </c>
      <c r="F29" s="7" t="s">
        <v>5</v>
      </c>
      <c r="G29" s="20">
        <v>12</v>
      </c>
      <c r="H29" s="3">
        <f t="shared" si="6"/>
        <v>0</v>
      </c>
    </row>
    <row r="30" spans="1:11" ht="13" x14ac:dyDescent="0.15">
      <c r="A30" s="20" t="s">
        <v>31</v>
      </c>
      <c r="B30" s="15"/>
      <c r="C30" s="7" t="s">
        <v>5</v>
      </c>
      <c r="D30" s="20">
        <v>1</v>
      </c>
      <c r="E30" s="3">
        <f t="shared" si="5"/>
        <v>0</v>
      </c>
      <c r="F30" s="7" t="s">
        <v>5</v>
      </c>
      <c r="G30" s="20">
        <v>12</v>
      </c>
      <c r="H30" s="3">
        <f t="shared" si="6"/>
        <v>0</v>
      </c>
    </row>
    <row r="31" spans="1:11" ht="13" x14ac:dyDescent="0.15">
      <c r="A31" s="20" t="s">
        <v>32</v>
      </c>
      <c r="B31" s="15"/>
      <c r="C31" s="7" t="s">
        <v>5</v>
      </c>
      <c r="D31" s="20">
        <v>1</v>
      </c>
      <c r="E31" s="3">
        <f t="shared" si="5"/>
        <v>0</v>
      </c>
      <c r="F31" s="7" t="s">
        <v>5</v>
      </c>
      <c r="G31" s="20">
        <v>12</v>
      </c>
      <c r="H31" s="3">
        <f t="shared" si="6"/>
        <v>0</v>
      </c>
    </row>
    <row r="32" spans="1:11" ht="13" x14ac:dyDescent="0.15">
      <c r="A32" s="20" t="s">
        <v>33</v>
      </c>
      <c r="B32" s="15"/>
      <c r="C32" s="7" t="s">
        <v>5</v>
      </c>
      <c r="D32" s="20">
        <v>1</v>
      </c>
      <c r="E32" s="3">
        <f t="shared" si="5"/>
        <v>0</v>
      </c>
      <c r="F32" s="7" t="s">
        <v>5</v>
      </c>
      <c r="G32" s="20">
        <v>1</v>
      </c>
      <c r="H32" s="3">
        <f t="shared" si="6"/>
        <v>0</v>
      </c>
    </row>
    <row r="33" spans="1:8" ht="13" x14ac:dyDescent="0.15">
      <c r="A33" s="59" t="s">
        <v>24</v>
      </c>
      <c r="B33" s="42"/>
      <c r="C33" s="42"/>
      <c r="D33" s="42"/>
      <c r="E33" s="27">
        <f>SUM(E25:E31)</f>
        <v>0</v>
      </c>
      <c r="F33" s="22" t="s">
        <v>5</v>
      </c>
      <c r="G33" s="25">
        <v>12</v>
      </c>
      <c r="H33" s="23">
        <f>SUM(H25:H32)</f>
        <v>0</v>
      </c>
    </row>
    <row r="34" spans="1:8" ht="14" x14ac:dyDescent="0.15">
      <c r="A34" s="18"/>
      <c r="B34" s="18"/>
      <c r="C34" s="18"/>
      <c r="D34" s="18"/>
      <c r="E34" s="18"/>
      <c r="F34" s="18"/>
      <c r="G34" s="18"/>
      <c r="H34" s="28"/>
    </row>
    <row r="35" spans="1:8" ht="14" x14ac:dyDescent="0.15">
      <c r="A35" s="18"/>
      <c r="B35" s="18"/>
      <c r="C35" s="18"/>
      <c r="D35" s="18"/>
      <c r="E35" s="18"/>
      <c r="F35" s="18"/>
      <c r="G35" s="18"/>
      <c r="H35" s="28"/>
    </row>
    <row r="36" spans="1:8" ht="14" x14ac:dyDescent="0.15">
      <c r="A36" s="47" t="s">
        <v>34</v>
      </c>
      <c r="B36" s="42"/>
      <c r="C36" s="42"/>
      <c r="D36" s="42"/>
      <c r="E36" s="18"/>
      <c r="F36" s="18"/>
      <c r="G36" s="18"/>
      <c r="H36" s="28"/>
    </row>
    <row r="37" spans="1:8" ht="14" x14ac:dyDescent="0.15">
      <c r="A37" s="57" t="s">
        <v>18</v>
      </c>
      <c r="B37" s="49"/>
      <c r="C37" s="58">
        <f>E21</f>
        <v>0</v>
      </c>
      <c r="D37" s="49"/>
      <c r="E37" s="18"/>
      <c r="F37" s="18"/>
      <c r="G37" s="18"/>
      <c r="H37" s="28"/>
    </row>
    <row r="38" spans="1:8" ht="14" x14ac:dyDescent="0.15">
      <c r="A38" s="57" t="s">
        <v>25</v>
      </c>
      <c r="B38" s="49"/>
      <c r="C38" s="58">
        <f>E33</f>
        <v>0</v>
      </c>
      <c r="D38" s="49"/>
      <c r="E38" s="18"/>
      <c r="F38" s="18"/>
      <c r="G38" s="18"/>
      <c r="H38" s="28"/>
    </row>
    <row r="39" spans="1:8" ht="14" x14ac:dyDescent="0.15">
      <c r="A39" s="47" t="s">
        <v>35</v>
      </c>
      <c r="B39" s="42"/>
      <c r="C39" s="54">
        <f>C37-C38</f>
        <v>0</v>
      </c>
      <c r="D39" s="42"/>
      <c r="E39" s="18"/>
      <c r="F39" s="18"/>
      <c r="G39" s="18"/>
      <c r="H39" s="28"/>
    </row>
    <row r="40" spans="1:8" ht="14" x14ac:dyDescent="0.15">
      <c r="A40" s="47" t="s">
        <v>36</v>
      </c>
      <c r="B40" s="42"/>
      <c r="C40" s="54">
        <f>C39*12</f>
        <v>0</v>
      </c>
      <c r="D40" s="42"/>
      <c r="E40" s="18"/>
      <c r="F40" s="18"/>
      <c r="G40" s="18"/>
      <c r="H40" s="28"/>
    </row>
    <row r="41" spans="1:8" ht="14" x14ac:dyDescent="0.15">
      <c r="C41" s="55"/>
      <c r="D41" s="42"/>
      <c r="E41" s="18"/>
      <c r="F41" s="18"/>
      <c r="G41" s="18"/>
      <c r="H41" s="28"/>
    </row>
    <row r="42" spans="1:8" ht="14" x14ac:dyDescent="0.15">
      <c r="A42" s="47" t="s">
        <v>37</v>
      </c>
      <c r="B42" s="42"/>
      <c r="C42" s="42"/>
      <c r="D42" s="42"/>
      <c r="E42" s="18"/>
      <c r="F42" s="18"/>
      <c r="G42" s="18"/>
      <c r="H42" s="28"/>
    </row>
    <row r="43" spans="1:8" ht="14" x14ac:dyDescent="0.15">
      <c r="A43" s="48" t="s">
        <v>38</v>
      </c>
      <c r="B43" s="49"/>
      <c r="C43" s="50">
        <f>E9</f>
        <v>0</v>
      </c>
      <c r="D43" s="49"/>
    </row>
    <row r="44" spans="1:8" ht="14" x14ac:dyDescent="0.15">
      <c r="A44" s="48" t="s">
        <v>39</v>
      </c>
      <c r="B44" s="49"/>
      <c r="C44" s="51">
        <f>D15</f>
        <v>0</v>
      </c>
      <c r="D44" s="49"/>
    </row>
    <row r="45" spans="1:8" ht="14" x14ac:dyDescent="0.15">
      <c r="A45" s="48" t="s">
        <v>40</v>
      </c>
      <c r="B45" s="49"/>
      <c r="C45" s="50">
        <f>H32</f>
        <v>0</v>
      </c>
      <c r="D45" s="49"/>
    </row>
    <row r="46" spans="1:8" ht="14" x14ac:dyDescent="0.15">
      <c r="A46" s="47" t="s">
        <v>41</v>
      </c>
      <c r="B46" s="42"/>
      <c r="C46" s="56">
        <f>C43-C44-C45</f>
        <v>0</v>
      </c>
      <c r="D46" s="42"/>
    </row>
    <row r="47" spans="1:8" ht="15.75" customHeight="1" x14ac:dyDescent="0.15">
      <c r="C47" s="42"/>
      <c r="D47" s="42"/>
    </row>
    <row r="48" spans="1:8" ht="15.75" customHeight="1" x14ac:dyDescent="0.15">
      <c r="A48" s="52" t="s">
        <v>42</v>
      </c>
      <c r="B48" s="42"/>
      <c r="C48" s="53">
        <f>C40+C46</f>
        <v>0</v>
      </c>
      <c r="D48" s="42"/>
    </row>
    <row r="49" spans="1:4" ht="13" x14ac:dyDescent="0.15">
      <c r="A49" s="52" t="s">
        <v>43</v>
      </c>
      <c r="B49" s="42"/>
      <c r="C49" s="42"/>
      <c r="D49" s="42"/>
    </row>
    <row r="50" spans="1:4" ht="13" x14ac:dyDescent="0.15">
      <c r="A50" s="46" t="s">
        <v>44</v>
      </c>
      <c r="B50" s="42"/>
      <c r="C50" s="42"/>
      <c r="D50" s="42"/>
    </row>
    <row r="51" spans="1:4" ht="15.75" customHeight="1" x14ac:dyDescent="0.15">
      <c r="A51" s="42"/>
      <c r="B51" s="42"/>
      <c r="C51" s="42"/>
      <c r="D51" s="42"/>
    </row>
    <row r="52" spans="1:4" ht="13" x14ac:dyDescent="0.15">
      <c r="A52" s="46" t="s">
        <v>45</v>
      </c>
      <c r="B52" s="42"/>
      <c r="C52" s="42"/>
      <c r="D52" s="42"/>
    </row>
    <row r="53" spans="1:4" ht="15.75" customHeight="1" x14ac:dyDescent="0.15">
      <c r="A53" s="42"/>
      <c r="B53" s="42"/>
      <c r="C53" s="42"/>
      <c r="D53" s="42"/>
    </row>
  </sheetData>
  <mergeCells count="29">
    <mergeCell ref="A17:G17"/>
    <mergeCell ref="A21:D21"/>
    <mergeCell ref="A23:G23"/>
    <mergeCell ref="A33:D33"/>
    <mergeCell ref="A36:D36"/>
    <mergeCell ref="A37:B37"/>
    <mergeCell ref="C37:D37"/>
    <mergeCell ref="A38:B38"/>
    <mergeCell ref="C38:D38"/>
    <mergeCell ref="A39:B39"/>
    <mergeCell ref="C39:D39"/>
    <mergeCell ref="A40:B40"/>
    <mergeCell ref="C40:D40"/>
    <mergeCell ref="C41:D41"/>
    <mergeCell ref="A46:B46"/>
    <mergeCell ref="C46:D46"/>
    <mergeCell ref="A52:D53"/>
    <mergeCell ref="A42:D42"/>
    <mergeCell ref="A43:B43"/>
    <mergeCell ref="C43:D43"/>
    <mergeCell ref="A44:B44"/>
    <mergeCell ref="C44:D44"/>
    <mergeCell ref="A45:B45"/>
    <mergeCell ref="C45:D45"/>
    <mergeCell ref="C47:D47"/>
    <mergeCell ref="A48:B48"/>
    <mergeCell ref="C48:D49"/>
    <mergeCell ref="A49:B49"/>
    <mergeCell ref="A50:D5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H17"/>
  <sheetViews>
    <sheetView tabSelected="1" zoomScale="187" workbookViewId="0">
      <selection activeCell="E20" sqref="E20"/>
    </sheetView>
  </sheetViews>
  <sheetFormatPr baseColWidth="10" defaultColWidth="12.6640625" defaultRowHeight="15.75" customHeight="1" x14ac:dyDescent="0.15"/>
  <cols>
    <col min="1" max="1" width="3.83203125" customWidth="1"/>
    <col min="2" max="2" width="25.1640625" customWidth="1"/>
    <col min="3" max="3" width="18.83203125" customWidth="1"/>
    <col min="4" max="4" width="18.83203125" hidden="1" customWidth="1"/>
    <col min="5" max="5" width="18.83203125" customWidth="1"/>
  </cols>
  <sheetData>
    <row r="1" spans="1:8" ht="15.75" customHeight="1" x14ac:dyDescent="0.15">
      <c r="A1" s="29" t="s">
        <v>46</v>
      </c>
    </row>
    <row r="3" spans="1:8" ht="15.75" customHeight="1" x14ac:dyDescent="0.15">
      <c r="A3" s="41" t="s">
        <v>47</v>
      </c>
      <c r="B3" s="43" t="s">
        <v>48</v>
      </c>
      <c r="C3" s="44" t="s">
        <v>49</v>
      </c>
      <c r="D3" s="42"/>
      <c r="E3" s="42"/>
    </row>
    <row r="4" spans="1:8" ht="15.75" customHeight="1" x14ac:dyDescent="0.15">
      <c r="A4" s="42"/>
      <c r="B4" s="42"/>
      <c r="C4" s="30" t="s">
        <v>50</v>
      </c>
      <c r="D4" s="31" t="s">
        <v>51</v>
      </c>
      <c r="E4" s="32" t="s">
        <v>52</v>
      </c>
    </row>
    <row r="5" spans="1:8" ht="15.75" customHeight="1" x14ac:dyDescent="0.15">
      <c r="A5" s="33">
        <v>1</v>
      </c>
      <c r="B5" s="34" t="s">
        <v>53</v>
      </c>
      <c r="C5" s="35"/>
      <c r="D5" s="36"/>
      <c r="E5" s="37"/>
    </row>
    <row r="6" spans="1:8" ht="15.75" customHeight="1" x14ac:dyDescent="0.15">
      <c r="A6" s="33">
        <v>2</v>
      </c>
      <c r="B6" s="34" t="s">
        <v>4</v>
      </c>
      <c r="C6" s="35"/>
      <c r="D6" s="36"/>
      <c r="E6" s="37"/>
    </row>
    <row r="7" spans="1:8" ht="15.75" customHeight="1" x14ac:dyDescent="0.15">
      <c r="A7" s="33">
        <v>3</v>
      </c>
      <c r="B7" s="34" t="s">
        <v>54</v>
      </c>
      <c r="C7" s="35"/>
      <c r="D7" s="36"/>
      <c r="E7" s="37"/>
    </row>
    <row r="8" spans="1:8" ht="15.75" customHeight="1" x14ac:dyDescent="0.15">
      <c r="A8" s="33">
        <v>4</v>
      </c>
      <c r="B8" s="34" t="s">
        <v>55</v>
      </c>
      <c r="C8" s="35"/>
      <c r="D8" s="36"/>
      <c r="E8" s="37"/>
    </row>
    <row r="9" spans="1:8" ht="15.75" customHeight="1" x14ac:dyDescent="0.15">
      <c r="A9" s="33">
        <v>5</v>
      </c>
      <c r="B9" s="34" t="s">
        <v>56</v>
      </c>
      <c r="C9" s="35"/>
      <c r="D9" s="36"/>
      <c r="E9" s="37"/>
    </row>
    <row r="10" spans="1:8" ht="15.75" customHeight="1" x14ac:dyDescent="0.15">
      <c r="A10" s="33">
        <v>6</v>
      </c>
      <c r="B10" s="34" t="s">
        <v>57</v>
      </c>
      <c r="C10" s="38"/>
      <c r="D10" s="39"/>
      <c r="E10" s="37"/>
    </row>
    <row r="11" spans="1:8" ht="15.75" customHeight="1" x14ac:dyDescent="0.15">
      <c r="A11" s="45" t="s">
        <v>58</v>
      </c>
      <c r="B11" s="42"/>
      <c r="C11" s="40">
        <f t="shared" ref="C11:E11" si="0">SUM(C5:C10)</f>
        <v>0</v>
      </c>
      <c r="D11" s="40">
        <f t="shared" si="0"/>
        <v>0</v>
      </c>
      <c r="E11" s="40">
        <f t="shared" si="0"/>
        <v>0</v>
      </c>
    </row>
    <row r="15" spans="1:8" ht="15.75" customHeight="1" x14ac:dyDescent="0.15">
      <c r="B15" s="29" t="s">
        <v>59</v>
      </c>
      <c r="H15" s="29" t="s">
        <v>46</v>
      </c>
    </row>
    <row r="16" spans="1:8" ht="15.75" customHeight="1" x14ac:dyDescent="0.15">
      <c r="B16" s="29" t="s">
        <v>60</v>
      </c>
    </row>
    <row r="17" spans="2:2" ht="15.75" customHeight="1" x14ac:dyDescent="0.15">
      <c r="B17" s="29" t="s">
        <v>61</v>
      </c>
    </row>
  </sheetData>
  <mergeCells count="4">
    <mergeCell ref="A3:A4"/>
    <mergeCell ref="B3:B4"/>
    <mergeCell ref="C3:E3"/>
    <mergeCell ref="A11:B1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SAVING 01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Rizqi Aji Pratama</cp:lastModifiedBy>
  <dcterms:modified xsi:type="dcterms:W3CDTF">2026-04-24T03:55:01Z</dcterms:modified>
</cp:coreProperties>
</file>